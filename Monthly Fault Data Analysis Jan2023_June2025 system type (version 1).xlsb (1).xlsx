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I:\Terra\StudentAttendanceEntering\Monthly consolidate\"/>
    </mc:Choice>
  </mc:AlternateContent>
  <bookViews>
    <workbookView xWindow="-120" yWindow="-120" windowWidth="20736" windowHeight="11160"/>
  </bookViews>
  <sheets>
    <sheet name="Monthly_Fault_Data__Jan_Mar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16" i="1" l="1"/>
  <c r="O316" i="1"/>
  <c r="P316" i="1" s="1"/>
  <c r="O174" i="1" l="1"/>
  <c r="P174" i="1" s="1"/>
  <c r="G174" i="1"/>
  <c r="O649" i="1"/>
  <c r="P649" i="1" s="1"/>
  <c r="G649" i="1"/>
  <c r="O648" i="1"/>
  <c r="P648" i="1" s="1"/>
  <c r="G648" i="1"/>
  <c r="O647" i="1"/>
  <c r="P647" i="1" s="1"/>
  <c r="G647" i="1"/>
  <c r="O646" i="1"/>
  <c r="P646" i="1" s="1"/>
  <c r="G646" i="1"/>
  <c r="O645" i="1"/>
  <c r="P645" i="1" s="1"/>
  <c r="G645" i="1"/>
  <c r="O644" i="1"/>
  <c r="P644" i="1" s="1"/>
  <c r="G644" i="1"/>
  <c r="O643" i="1"/>
  <c r="P643" i="1" s="1"/>
  <c r="G643" i="1"/>
  <c r="O642" i="1"/>
  <c r="P642" i="1" s="1"/>
  <c r="G642" i="1"/>
  <c r="O641" i="1"/>
  <c r="P641" i="1" s="1"/>
  <c r="G641" i="1"/>
  <c r="O173" i="1"/>
  <c r="P173" i="1" s="1"/>
  <c r="G173" i="1"/>
  <c r="O172" i="1"/>
  <c r="P172" i="1" s="1"/>
  <c r="G172" i="1"/>
  <c r="O640" i="1"/>
  <c r="P640" i="1" s="1"/>
  <c r="G640" i="1"/>
  <c r="O639" i="1"/>
  <c r="P639" i="1" s="1"/>
  <c r="G639" i="1"/>
  <c r="O638" i="1"/>
  <c r="P638" i="1" s="1"/>
  <c r="G638" i="1"/>
  <c r="O637" i="1"/>
  <c r="P637" i="1" s="1"/>
  <c r="G637" i="1"/>
  <c r="O636" i="1"/>
  <c r="P636" i="1" s="1"/>
  <c r="G636" i="1"/>
  <c r="O635" i="1"/>
  <c r="P635" i="1" s="1"/>
  <c r="G635" i="1"/>
  <c r="O634" i="1"/>
  <c r="P634" i="1" s="1"/>
  <c r="G634" i="1"/>
  <c r="O171" i="1"/>
  <c r="P171" i="1" s="1"/>
  <c r="G171" i="1"/>
  <c r="O633" i="1"/>
  <c r="P633" i="1" s="1"/>
  <c r="G633" i="1"/>
  <c r="O632" i="1"/>
  <c r="P632" i="1" s="1"/>
  <c r="G632" i="1"/>
  <c r="O631" i="1"/>
  <c r="P631" i="1" s="1"/>
  <c r="G631" i="1"/>
  <c r="O630" i="1"/>
  <c r="P630" i="1" s="1"/>
  <c r="G630" i="1"/>
  <c r="O629" i="1"/>
  <c r="P629" i="1" s="1"/>
  <c r="G629" i="1"/>
  <c r="O628" i="1"/>
  <c r="P628" i="1" s="1"/>
  <c r="G628" i="1"/>
  <c r="O627" i="1"/>
  <c r="P627" i="1" s="1"/>
  <c r="G627" i="1"/>
  <c r="O170" i="1"/>
  <c r="P170" i="1" s="1"/>
  <c r="G170" i="1"/>
  <c r="O169" i="1"/>
  <c r="P169" i="1" s="1"/>
  <c r="G169" i="1"/>
  <c r="O168" i="1"/>
  <c r="P168" i="1" s="1"/>
  <c r="G168" i="1"/>
  <c r="O167" i="1"/>
  <c r="P167" i="1" s="1"/>
  <c r="G167" i="1"/>
  <c r="O166" i="1"/>
  <c r="P166" i="1" s="1"/>
  <c r="G166" i="1"/>
  <c r="O626" i="1"/>
  <c r="P626" i="1" s="1"/>
  <c r="G626" i="1"/>
  <c r="O625" i="1"/>
  <c r="P625" i="1" s="1"/>
  <c r="G625" i="1"/>
  <c r="O624" i="1"/>
  <c r="P624" i="1" s="1"/>
  <c r="G624" i="1"/>
  <c r="O165" i="1"/>
  <c r="P165" i="1" s="1"/>
  <c r="G165" i="1"/>
  <c r="O164" i="1"/>
  <c r="P164" i="1" s="1"/>
  <c r="G164" i="1"/>
  <c r="O623" i="1"/>
  <c r="P623" i="1" s="1"/>
  <c r="G623" i="1"/>
  <c r="O163" i="1"/>
  <c r="P163" i="1" s="1"/>
  <c r="G163" i="1"/>
  <c r="O162" i="1"/>
  <c r="P162" i="1" s="1"/>
  <c r="G162" i="1"/>
  <c r="O622" i="1"/>
  <c r="P622" i="1" s="1"/>
  <c r="G622" i="1"/>
  <c r="O621" i="1"/>
  <c r="P621" i="1" s="1"/>
  <c r="G621" i="1"/>
  <c r="O620" i="1"/>
  <c r="P620" i="1" s="1"/>
  <c r="G620" i="1"/>
  <c r="O161" i="1"/>
  <c r="P161" i="1" s="1"/>
  <c r="G161" i="1"/>
  <c r="O619" i="1"/>
  <c r="P619" i="1" s="1"/>
  <c r="G619" i="1"/>
  <c r="O618" i="1"/>
  <c r="P618" i="1" s="1"/>
  <c r="G618" i="1"/>
  <c r="O617" i="1"/>
  <c r="P617" i="1" s="1"/>
  <c r="G617" i="1"/>
  <c r="O160" i="1"/>
  <c r="P160" i="1" s="1"/>
  <c r="G160" i="1"/>
  <c r="O159" i="1"/>
  <c r="P159" i="1" s="1"/>
  <c r="G159" i="1"/>
  <c r="O616" i="1"/>
  <c r="P616" i="1" s="1"/>
  <c r="G616" i="1"/>
  <c r="O615" i="1"/>
  <c r="P615" i="1" s="1"/>
  <c r="G615" i="1"/>
  <c r="O158" i="1"/>
  <c r="P158" i="1" s="1"/>
  <c r="G158" i="1"/>
  <c r="O614" i="1"/>
  <c r="P614" i="1" s="1"/>
  <c r="G614" i="1"/>
  <c r="O613" i="1"/>
  <c r="P613" i="1" s="1"/>
  <c r="G613" i="1"/>
  <c r="O612" i="1"/>
  <c r="P612" i="1" s="1"/>
  <c r="G612" i="1"/>
  <c r="O611" i="1"/>
  <c r="P611" i="1" s="1"/>
  <c r="G611" i="1"/>
  <c r="O610" i="1"/>
  <c r="P610" i="1" s="1"/>
  <c r="G610" i="1"/>
  <c r="O609" i="1"/>
  <c r="P609" i="1" s="1"/>
  <c r="G609" i="1"/>
  <c r="O608" i="1"/>
  <c r="P608" i="1" s="1"/>
  <c r="G608" i="1"/>
  <c r="O607" i="1"/>
  <c r="P607" i="1" s="1"/>
  <c r="G607" i="1"/>
  <c r="O606" i="1"/>
  <c r="P606" i="1" s="1"/>
  <c r="G606" i="1"/>
  <c r="O605" i="1"/>
  <c r="P605" i="1" s="1"/>
  <c r="G605" i="1"/>
  <c r="O604" i="1"/>
  <c r="P604" i="1" s="1"/>
  <c r="G604" i="1"/>
  <c r="O603" i="1"/>
  <c r="P603" i="1" s="1"/>
  <c r="G603" i="1"/>
  <c r="O602" i="1"/>
  <c r="P602" i="1" s="1"/>
  <c r="G602" i="1"/>
  <c r="O601" i="1"/>
  <c r="P601" i="1" s="1"/>
  <c r="G601" i="1"/>
  <c r="O600" i="1"/>
  <c r="P600" i="1" s="1"/>
  <c r="G600" i="1"/>
  <c r="O157" i="1"/>
  <c r="P157" i="1" s="1"/>
  <c r="G157" i="1"/>
  <c r="O156" i="1"/>
  <c r="P156" i="1" s="1"/>
  <c r="G156" i="1"/>
  <c r="O599" i="1"/>
  <c r="P599" i="1" s="1"/>
  <c r="G599" i="1"/>
  <c r="O155" i="1"/>
  <c r="P155" i="1" s="1"/>
  <c r="G155" i="1"/>
  <c r="O154" i="1"/>
  <c r="P154" i="1" s="1"/>
  <c r="G154" i="1"/>
  <c r="O598" i="1"/>
  <c r="P598" i="1" s="1"/>
  <c r="G598" i="1"/>
  <c r="O597" i="1"/>
  <c r="P597" i="1" s="1"/>
  <c r="G597" i="1"/>
  <c r="O153" i="1"/>
  <c r="P153" i="1" s="1"/>
  <c r="G153" i="1"/>
  <c r="O596" i="1"/>
  <c r="P596" i="1" s="1"/>
  <c r="G596" i="1"/>
  <c r="O595" i="1"/>
  <c r="P595" i="1" s="1"/>
  <c r="G595" i="1"/>
  <c r="O594" i="1"/>
  <c r="P594" i="1" s="1"/>
  <c r="G594" i="1"/>
  <c r="O593" i="1"/>
  <c r="P593" i="1" s="1"/>
  <c r="G593" i="1"/>
  <c r="O592" i="1"/>
  <c r="P592" i="1" s="1"/>
  <c r="G592" i="1"/>
  <c r="O591" i="1"/>
  <c r="P591" i="1" s="1"/>
  <c r="G591" i="1"/>
  <c r="O590" i="1"/>
  <c r="P590" i="1" s="1"/>
  <c r="G590" i="1"/>
  <c r="O589" i="1"/>
  <c r="P589" i="1" s="1"/>
  <c r="G589" i="1"/>
  <c r="O588" i="1"/>
  <c r="P588" i="1" s="1"/>
  <c r="G588" i="1"/>
  <c r="O587" i="1"/>
  <c r="P587" i="1" s="1"/>
  <c r="G587" i="1"/>
  <c r="O586" i="1"/>
  <c r="P586" i="1" s="1"/>
  <c r="G586" i="1"/>
  <c r="O585" i="1"/>
  <c r="P585" i="1" s="1"/>
  <c r="G585" i="1"/>
  <c r="O152" i="1"/>
  <c r="P152" i="1" s="1"/>
  <c r="G152" i="1"/>
  <c r="O584" i="1"/>
  <c r="P584" i="1" s="1"/>
  <c r="G584" i="1"/>
  <c r="O583" i="1"/>
  <c r="P583" i="1" s="1"/>
  <c r="G583" i="1"/>
  <c r="O151" i="1"/>
  <c r="P151" i="1" s="1"/>
  <c r="G151" i="1"/>
  <c r="O582" i="1"/>
  <c r="P582" i="1" s="1"/>
  <c r="G582" i="1"/>
  <c r="O581" i="1"/>
  <c r="P581" i="1" s="1"/>
  <c r="G581" i="1"/>
  <c r="O580" i="1"/>
  <c r="P580" i="1" s="1"/>
  <c r="G580" i="1"/>
  <c r="O579" i="1"/>
  <c r="P579" i="1" s="1"/>
  <c r="G579" i="1"/>
  <c r="O578" i="1"/>
  <c r="P578" i="1" s="1"/>
  <c r="G578" i="1"/>
  <c r="O577" i="1"/>
  <c r="P577" i="1" s="1"/>
  <c r="G577" i="1"/>
  <c r="O576" i="1"/>
  <c r="P576" i="1" s="1"/>
  <c r="G576" i="1"/>
  <c r="O575" i="1"/>
  <c r="P575" i="1" s="1"/>
  <c r="G575" i="1"/>
  <c r="O574" i="1"/>
  <c r="P574" i="1" s="1"/>
  <c r="G574" i="1"/>
  <c r="O573" i="1"/>
  <c r="P573" i="1" s="1"/>
  <c r="G573" i="1"/>
  <c r="O572" i="1"/>
  <c r="P572" i="1" s="1"/>
  <c r="G572" i="1"/>
  <c r="O571" i="1"/>
  <c r="P571" i="1" s="1"/>
  <c r="G571" i="1"/>
  <c r="O570" i="1"/>
  <c r="P570" i="1" s="1"/>
  <c r="G570" i="1"/>
  <c r="O569" i="1"/>
  <c r="P569" i="1" s="1"/>
  <c r="G569" i="1"/>
  <c r="O568" i="1"/>
  <c r="P568" i="1" s="1"/>
  <c r="G568" i="1"/>
  <c r="O567" i="1"/>
  <c r="P567" i="1" s="1"/>
  <c r="G567" i="1"/>
  <c r="O566" i="1"/>
  <c r="P566" i="1" s="1"/>
  <c r="G566" i="1"/>
  <c r="O150" i="1"/>
  <c r="P150" i="1" s="1"/>
  <c r="G150" i="1"/>
  <c r="O149" i="1"/>
  <c r="P149" i="1" s="1"/>
  <c r="G149" i="1"/>
  <c r="O565" i="1"/>
  <c r="P565" i="1" s="1"/>
  <c r="G565" i="1"/>
  <c r="O564" i="1"/>
  <c r="P564" i="1" s="1"/>
  <c r="G564" i="1"/>
  <c r="O563" i="1"/>
  <c r="P563" i="1" s="1"/>
  <c r="G563" i="1"/>
  <c r="O562" i="1"/>
  <c r="P562" i="1" s="1"/>
  <c r="G562" i="1"/>
  <c r="O561" i="1"/>
  <c r="P561" i="1" s="1"/>
  <c r="G561" i="1"/>
  <c r="O560" i="1"/>
  <c r="P560" i="1" s="1"/>
  <c r="G560" i="1"/>
  <c r="O559" i="1"/>
  <c r="P559" i="1" s="1"/>
  <c r="G559" i="1"/>
  <c r="O558" i="1"/>
  <c r="P558" i="1" s="1"/>
  <c r="G558" i="1"/>
  <c r="O557" i="1"/>
  <c r="P557" i="1" s="1"/>
  <c r="G557" i="1"/>
  <c r="O556" i="1"/>
  <c r="P556" i="1" s="1"/>
  <c r="G556" i="1"/>
  <c r="O555" i="1"/>
  <c r="P555" i="1" s="1"/>
  <c r="G555" i="1"/>
  <c r="O148" i="1"/>
  <c r="P148" i="1" s="1"/>
  <c r="G148" i="1"/>
  <c r="O554" i="1"/>
  <c r="P554" i="1" s="1"/>
  <c r="G554" i="1"/>
  <c r="O553" i="1"/>
  <c r="P553" i="1" s="1"/>
  <c r="G553" i="1"/>
  <c r="O552" i="1"/>
  <c r="P552" i="1" s="1"/>
  <c r="G552" i="1"/>
  <c r="O551" i="1"/>
  <c r="P551" i="1" s="1"/>
  <c r="G551" i="1"/>
  <c r="O550" i="1"/>
  <c r="P550" i="1" s="1"/>
  <c r="G550" i="1"/>
  <c r="O549" i="1"/>
  <c r="P549" i="1" s="1"/>
  <c r="G549" i="1"/>
  <c r="O548" i="1"/>
  <c r="P548" i="1" s="1"/>
  <c r="G548" i="1"/>
  <c r="O547" i="1"/>
  <c r="P547" i="1" s="1"/>
  <c r="G547" i="1"/>
  <c r="O546" i="1"/>
  <c r="P546" i="1" s="1"/>
  <c r="G546" i="1"/>
  <c r="O545" i="1"/>
  <c r="P545" i="1" s="1"/>
  <c r="G545" i="1"/>
  <c r="O544" i="1"/>
  <c r="P544" i="1" s="1"/>
  <c r="G544" i="1"/>
  <c r="O147" i="1"/>
  <c r="P147" i="1" s="1"/>
  <c r="G147" i="1"/>
  <c r="O543" i="1"/>
  <c r="P543" i="1" s="1"/>
  <c r="G543" i="1"/>
  <c r="O542" i="1"/>
  <c r="P542" i="1" s="1"/>
  <c r="G542" i="1"/>
  <c r="O541" i="1"/>
  <c r="P541" i="1" s="1"/>
  <c r="G541" i="1"/>
  <c r="O540" i="1"/>
  <c r="P540" i="1" s="1"/>
  <c r="G540" i="1"/>
  <c r="O200" i="1"/>
  <c r="P200" i="1" s="1"/>
  <c r="G200" i="1"/>
  <c r="O539" i="1"/>
  <c r="P539" i="1" s="1"/>
  <c r="G539" i="1"/>
  <c r="O538" i="1"/>
  <c r="P538" i="1" s="1"/>
  <c r="G538" i="1"/>
  <c r="O537" i="1"/>
  <c r="P537" i="1" s="1"/>
  <c r="G537" i="1"/>
  <c r="O536" i="1"/>
  <c r="P536" i="1" s="1"/>
  <c r="G536" i="1"/>
  <c r="O535" i="1"/>
  <c r="P535" i="1" s="1"/>
  <c r="G535" i="1"/>
  <c r="O534" i="1"/>
  <c r="P534" i="1" s="1"/>
  <c r="G534" i="1"/>
  <c r="O533" i="1"/>
  <c r="P533" i="1" s="1"/>
  <c r="G533" i="1"/>
  <c r="O532" i="1"/>
  <c r="P532" i="1" s="1"/>
  <c r="G532" i="1"/>
  <c r="O531" i="1"/>
  <c r="P531" i="1" s="1"/>
  <c r="G531" i="1"/>
  <c r="O530" i="1"/>
  <c r="P530" i="1" s="1"/>
  <c r="G530" i="1"/>
  <c r="O529" i="1"/>
  <c r="P529" i="1" s="1"/>
  <c r="G529" i="1"/>
  <c r="O528" i="1"/>
  <c r="P528" i="1" s="1"/>
  <c r="G528" i="1"/>
  <c r="O146" i="1"/>
  <c r="P146" i="1" s="1"/>
  <c r="G146" i="1"/>
  <c r="O527" i="1"/>
  <c r="P527" i="1" s="1"/>
  <c r="G527" i="1"/>
  <c r="O145" i="1"/>
  <c r="P145" i="1" s="1"/>
  <c r="G145" i="1"/>
  <c r="O526" i="1"/>
  <c r="P526" i="1" s="1"/>
  <c r="G526" i="1"/>
  <c r="O525" i="1"/>
  <c r="P525" i="1" s="1"/>
  <c r="G525" i="1"/>
  <c r="O524" i="1"/>
  <c r="P524" i="1" s="1"/>
  <c r="G524" i="1"/>
  <c r="O523" i="1"/>
  <c r="P523" i="1" s="1"/>
  <c r="G523" i="1"/>
  <c r="O522" i="1"/>
  <c r="P522" i="1" s="1"/>
  <c r="G522" i="1"/>
  <c r="O521" i="1"/>
  <c r="P521" i="1" s="1"/>
  <c r="G521" i="1"/>
  <c r="O520" i="1"/>
  <c r="P520" i="1" s="1"/>
  <c r="G520" i="1"/>
  <c r="O519" i="1"/>
  <c r="P519" i="1" s="1"/>
  <c r="G519" i="1"/>
  <c r="O518" i="1"/>
  <c r="P518" i="1" s="1"/>
  <c r="G518" i="1"/>
  <c r="O517" i="1"/>
  <c r="P517" i="1" s="1"/>
  <c r="G517" i="1"/>
  <c r="O516" i="1"/>
  <c r="P516" i="1" s="1"/>
  <c r="G516" i="1"/>
  <c r="O515" i="1"/>
  <c r="P515" i="1" s="1"/>
  <c r="G515" i="1"/>
  <c r="O514" i="1"/>
  <c r="P514" i="1" s="1"/>
  <c r="G514" i="1"/>
  <c r="O144" i="1"/>
  <c r="P144" i="1" s="1"/>
  <c r="G144" i="1"/>
  <c r="O143" i="1"/>
  <c r="P143" i="1" s="1"/>
  <c r="G143" i="1"/>
  <c r="O513" i="1"/>
  <c r="P513" i="1" s="1"/>
  <c r="G513" i="1"/>
  <c r="O512" i="1"/>
  <c r="P512" i="1" s="1"/>
  <c r="G512" i="1"/>
  <c r="O511" i="1"/>
  <c r="P511" i="1" s="1"/>
  <c r="G511" i="1"/>
  <c r="O510" i="1"/>
  <c r="P510" i="1" s="1"/>
  <c r="G510" i="1"/>
  <c r="O509" i="1"/>
  <c r="P509" i="1" s="1"/>
  <c r="G509" i="1"/>
  <c r="O142" i="1"/>
  <c r="P142" i="1" s="1"/>
  <c r="G142" i="1"/>
  <c r="O508" i="1"/>
  <c r="P508" i="1" s="1"/>
  <c r="G508" i="1"/>
  <c r="O507" i="1"/>
  <c r="P507" i="1" s="1"/>
  <c r="G507" i="1"/>
  <c r="O506" i="1"/>
  <c r="P506" i="1" s="1"/>
  <c r="G506" i="1"/>
  <c r="O199" i="1"/>
  <c r="P199" i="1" s="1"/>
  <c r="G199" i="1"/>
  <c r="O505" i="1"/>
  <c r="P505" i="1" s="1"/>
  <c r="G505" i="1"/>
  <c r="O504" i="1"/>
  <c r="P504" i="1" s="1"/>
  <c r="G504" i="1"/>
  <c r="O141" i="1"/>
  <c r="P141" i="1" s="1"/>
  <c r="G141" i="1"/>
  <c r="O503" i="1"/>
  <c r="P503" i="1" s="1"/>
  <c r="G503" i="1"/>
  <c r="O502" i="1"/>
  <c r="P502" i="1" s="1"/>
  <c r="G502" i="1"/>
  <c r="O501" i="1"/>
  <c r="P501" i="1" s="1"/>
  <c r="G501" i="1"/>
  <c r="O198" i="1"/>
  <c r="P198" i="1" s="1"/>
  <c r="G198" i="1"/>
  <c r="O500" i="1"/>
  <c r="P500" i="1" s="1"/>
  <c r="G500" i="1"/>
  <c r="O197" i="1"/>
  <c r="P197" i="1" s="1"/>
  <c r="G197" i="1"/>
  <c r="O499" i="1"/>
  <c r="P499" i="1" s="1"/>
  <c r="G499" i="1"/>
  <c r="O140" i="1"/>
  <c r="P140" i="1" s="1"/>
  <c r="G140" i="1"/>
  <c r="O498" i="1"/>
  <c r="P498" i="1" s="1"/>
  <c r="G498" i="1"/>
  <c r="O139" i="1"/>
  <c r="P139" i="1" s="1"/>
  <c r="G139" i="1"/>
  <c r="O497" i="1"/>
  <c r="P497" i="1" s="1"/>
  <c r="G497" i="1"/>
  <c r="O496" i="1"/>
  <c r="P496" i="1" s="1"/>
  <c r="G496" i="1"/>
  <c r="O495" i="1"/>
  <c r="P495" i="1" s="1"/>
  <c r="G495" i="1"/>
  <c r="O494" i="1"/>
  <c r="P494" i="1" s="1"/>
  <c r="G494" i="1"/>
  <c r="O493" i="1"/>
  <c r="P493" i="1" s="1"/>
  <c r="G493" i="1"/>
  <c r="O492" i="1"/>
  <c r="P492" i="1" s="1"/>
  <c r="G492" i="1"/>
  <c r="O491" i="1"/>
  <c r="P491" i="1" s="1"/>
  <c r="G491" i="1"/>
  <c r="O490" i="1"/>
  <c r="P490" i="1" s="1"/>
  <c r="G490" i="1"/>
  <c r="O489" i="1"/>
  <c r="P489" i="1" s="1"/>
  <c r="G489" i="1"/>
  <c r="O488" i="1"/>
  <c r="P488" i="1" s="1"/>
  <c r="G488" i="1"/>
  <c r="O487" i="1"/>
  <c r="P487" i="1" s="1"/>
  <c r="G487" i="1"/>
  <c r="O486" i="1"/>
  <c r="P486" i="1" s="1"/>
  <c r="G486" i="1"/>
  <c r="O485" i="1"/>
  <c r="P485" i="1" s="1"/>
  <c r="G485" i="1"/>
  <c r="O138" i="1"/>
  <c r="P138" i="1" s="1"/>
  <c r="G138" i="1"/>
  <c r="O137" i="1"/>
  <c r="P137" i="1" s="1"/>
  <c r="G137" i="1"/>
  <c r="O484" i="1"/>
  <c r="P484" i="1" s="1"/>
  <c r="G484" i="1"/>
  <c r="O483" i="1"/>
  <c r="P483" i="1" s="1"/>
  <c r="G483" i="1"/>
  <c r="O482" i="1"/>
  <c r="P482" i="1" s="1"/>
  <c r="G482" i="1"/>
  <c r="O481" i="1"/>
  <c r="P481" i="1" s="1"/>
  <c r="G481" i="1"/>
  <c r="O480" i="1"/>
  <c r="P480" i="1" s="1"/>
  <c r="G480" i="1"/>
  <c r="O479" i="1"/>
  <c r="P479" i="1" s="1"/>
  <c r="G479" i="1"/>
  <c r="O478" i="1"/>
  <c r="P478" i="1" s="1"/>
  <c r="G478" i="1"/>
  <c r="O477" i="1"/>
  <c r="P477" i="1" s="1"/>
  <c r="G477" i="1"/>
  <c r="O476" i="1"/>
  <c r="P476" i="1" s="1"/>
  <c r="G476" i="1"/>
  <c r="O196" i="1"/>
  <c r="P196" i="1" s="1"/>
  <c r="G196" i="1"/>
  <c r="O475" i="1"/>
  <c r="P475" i="1" s="1"/>
  <c r="G475" i="1"/>
  <c r="O474" i="1"/>
  <c r="P474" i="1" s="1"/>
  <c r="G474" i="1"/>
  <c r="O473" i="1"/>
  <c r="P473" i="1" s="1"/>
  <c r="G473" i="1"/>
  <c r="O472" i="1"/>
  <c r="P472" i="1" s="1"/>
  <c r="G472" i="1"/>
  <c r="O471" i="1"/>
  <c r="P471" i="1" s="1"/>
  <c r="G471" i="1"/>
  <c r="O470" i="1"/>
  <c r="P470" i="1" s="1"/>
  <c r="G470" i="1"/>
  <c r="O469" i="1"/>
  <c r="P469" i="1" s="1"/>
  <c r="G469" i="1"/>
  <c r="O468" i="1"/>
  <c r="P468" i="1" s="1"/>
  <c r="G468" i="1"/>
  <c r="O136" i="1"/>
  <c r="P136" i="1" s="1"/>
  <c r="G136" i="1"/>
  <c r="O467" i="1"/>
  <c r="P467" i="1" s="1"/>
  <c r="G467" i="1"/>
  <c r="O466" i="1"/>
  <c r="P466" i="1" s="1"/>
  <c r="G466" i="1"/>
  <c r="O465" i="1"/>
  <c r="P465" i="1" s="1"/>
  <c r="G465" i="1"/>
  <c r="O464" i="1"/>
  <c r="P464" i="1" s="1"/>
  <c r="G464" i="1"/>
  <c r="O463" i="1"/>
  <c r="P463" i="1" s="1"/>
  <c r="G463" i="1"/>
  <c r="O462" i="1"/>
  <c r="P462" i="1" s="1"/>
  <c r="G462" i="1"/>
  <c r="O461" i="1"/>
  <c r="P461" i="1" s="1"/>
  <c r="G461" i="1"/>
  <c r="O460" i="1"/>
  <c r="P460" i="1" s="1"/>
  <c r="G460" i="1"/>
  <c r="O459" i="1"/>
  <c r="P459" i="1" s="1"/>
  <c r="G459" i="1"/>
  <c r="O135" i="1"/>
  <c r="P135" i="1" s="1"/>
  <c r="G135" i="1"/>
  <c r="O134" i="1"/>
  <c r="P134" i="1" s="1"/>
  <c r="G134" i="1"/>
  <c r="O133" i="1"/>
  <c r="P133" i="1" s="1"/>
  <c r="G133" i="1"/>
  <c r="O132" i="1"/>
  <c r="P132" i="1" s="1"/>
  <c r="G132" i="1"/>
  <c r="O131" i="1"/>
  <c r="P131" i="1" s="1"/>
  <c r="G131" i="1"/>
  <c r="O458" i="1"/>
  <c r="P458" i="1" s="1"/>
  <c r="G458" i="1"/>
  <c r="O195" i="1"/>
  <c r="P195" i="1" s="1"/>
  <c r="G195" i="1"/>
  <c r="O194" i="1"/>
  <c r="P194" i="1" s="1"/>
  <c r="G194" i="1"/>
  <c r="O457" i="1"/>
  <c r="P457" i="1" s="1"/>
  <c r="G457" i="1"/>
  <c r="O456" i="1"/>
  <c r="P456" i="1" s="1"/>
  <c r="G456" i="1"/>
  <c r="O130" i="1"/>
  <c r="P130" i="1" s="1"/>
  <c r="G130" i="1"/>
  <c r="O455" i="1"/>
  <c r="P455" i="1" s="1"/>
  <c r="G455" i="1"/>
  <c r="O454" i="1"/>
  <c r="P454" i="1" s="1"/>
  <c r="G454" i="1"/>
  <c r="O453" i="1"/>
  <c r="P453" i="1" s="1"/>
  <c r="G453" i="1"/>
  <c r="O129" i="1"/>
  <c r="P129" i="1" s="1"/>
  <c r="G129" i="1"/>
  <c r="O452" i="1"/>
  <c r="P452" i="1" s="1"/>
  <c r="G452" i="1"/>
  <c r="O451" i="1"/>
  <c r="P451" i="1" s="1"/>
  <c r="G451" i="1"/>
  <c r="O128" i="1"/>
  <c r="P128" i="1" s="1"/>
  <c r="G128" i="1"/>
  <c r="O450" i="1"/>
  <c r="P450" i="1" s="1"/>
  <c r="G450" i="1"/>
  <c r="O127" i="1"/>
  <c r="P127" i="1" s="1"/>
  <c r="G127" i="1"/>
  <c r="O449" i="1"/>
  <c r="P449" i="1" s="1"/>
  <c r="G449" i="1"/>
  <c r="O448" i="1"/>
  <c r="P448" i="1" s="1"/>
  <c r="G448" i="1"/>
  <c r="O447" i="1"/>
  <c r="P447" i="1" s="1"/>
  <c r="G447" i="1"/>
  <c r="O446" i="1"/>
  <c r="P446" i="1" s="1"/>
  <c r="G446" i="1"/>
  <c r="O126" i="1"/>
  <c r="P126" i="1" s="1"/>
  <c r="G126" i="1"/>
  <c r="O445" i="1"/>
  <c r="P445" i="1" s="1"/>
  <c r="G445" i="1"/>
  <c r="O125" i="1"/>
  <c r="P125" i="1" s="1"/>
  <c r="G125" i="1"/>
  <c r="O444" i="1"/>
  <c r="P444" i="1" s="1"/>
  <c r="G444" i="1"/>
  <c r="O443" i="1"/>
  <c r="P443" i="1" s="1"/>
  <c r="G443" i="1"/>
  <c r="O442" i="1"/>
  <c r="P442" i="1" s="1"/>
  <c r="G442" i="1"/>
  <c r="O124" i="1"/>
  <c r="P124" i="1" s="1"/>
  <c r="G124" i="1"/>
  <c r="O123" i="1"/>
  <c r="P123" i="1" s="1"/>
  <c r="G123" i="1"/>
  <c r="O122" i="1"/>
  <c r="P122" i="1" s="1"/>
  <c r="G122" i="1"/>
  <c r="O121" i="1"/>
  <c r="P121" i="1" s="1"/>
  <c r="G121" i="1"/>
  <c r="O120" i="1"/>
  <c r="P120" i="1" s="1"/>
  <c r="G120" i="1"/>
  <c r="O441" i="1"/>
  <c r="P441" i="1" s="1"/>
  <c r="G441" i="1"/>
  <c r="O440" i="1"/>
  <c r="P440" i="1" s="1"/>
  <c r="G440" i="1"/>
  <c r="O439" i="1"/>
  <c r="P439" i="1" s="1"/>
  <c r="G439" i="1"/>
  <c r="O438" i="1"/>
  <c r="P438" i="1" s="1"/>
  <c r="G438" i="1"/>
  <c r="O437" i="1"/>
  <c r="P437" i="1" s="1"/>
  <c r="G437" i="1"/>
  <c r="O119" i="1"/>
  <c r="P119" i="1" s="1"/>
  <c r="G119" i="1"/>
  <c r="O118" i="1"/>
  <c r="P118" i="1" s="1"/>
  <c r="G118" i="1"/>
  <c r="O436" i="1"/>
  <c r="P436" i="1" s="1"/>
  <c r="G436" i="1"/>
  <c r="O435" i="1"/>
  <c r="P435" i="1" s="1"/>
  <c r="G435" i="1"/>
  <c r="O117" i="1"/>
  <c r="P117" i="1" s="1"/>
  <c r="G117" i="1"/>
  <c r="O116" i="1"/>
  <c r="P116" i="1" s="1"/>
  <c r="G116" i="1"/>
  <c r="O115" i="1"/>
  <c r="P115" i="1" s="1"/>
  <c r="G115" i="1"/>
  <c r="O434" i="1"/>
  <c r="P434" i="1" s="1"/>
  <c r="G434" i="1"/>
  <c r="O433" i="1"/>
  <c r="P433" i="1" s="1"/>
  <c r="G433" i="1"/>
  <c r="O114" i="1"/>
  <c r="P114" i="1" s="1"/>
  <c r="G114" i="1"/>
  <c r="O113" i="1"/>
  <c r="P113" i="1" s="1"/>
  <c r="G113" i="1"/>
  <c r="O112" i="1"/>
  <c r="P112" i="1" s="1"/>
  <c r="G112" i="1"/>
  <c r="O111" i="1"/>
  <c r="P111" i="1" s="1"/>
  <c r="G111" i="1"/>
  <c r="O110" i="1"/>
  <c r="P110" i="1" s="1"/>
  <c r="G110" i="1"/>
  <c r="O109" i="1"/>
  <c r="P109" i="1" s="1"/>
  <c r="G109" i="1"/>
  <c r="O108" i="1"/>
  <c r="P108" i="1" s="1"/>
  <c r="G108" i="1"/>
  <c r="O193" i="1"/>
  <c r="P193" i="1" s="1"/>
  <c r="G193" i="1"/>
  <c r="O107" i="1"/>
  <c r="P107" i="1" s="1"/>
  <c r="G107" i="1"/>
  <c r="O106" i="1"/>
  <c r="P106" i="1" s="1"/>
  <c r="G106" i="1"/>
  <c r="O105" i="1"/>
  <c r="P105" i="1" s="1"/>
  <c r="G105" i="1"/>
  <c r="O104" i="1"/>
  <c r="P104" i="1" s="1"/>
  <c r="G104" i="1"/>
  <c r="O192" i="1"/>
  <c r="P192" i="1" s="1"/>
  <c r="G192" i="1"/>
  <c r="O103" i="1"/>
  <c r="P103" i="1" s="1"/>
  <c r="G103" i="1"/>
  <c r="O102" i="1"/>
  <c r="P102" i="1" s="1"/>
  <c r="G102" i="1"/>
  <c r="O101" i="1"/>
  <c r="P101" i="1" s="1"/>
  <c r="G101" i="1"/>
  <c r="O432" i="1"/>
  <c r="P432" i="1" s="1"/>
  <c r="G432" i="1"/>
  <c r="O100" i="1"/>
  <c r="P100" i="1" s="1"/>
  <c r="G100" i="1"/>
  <c r="O431" i="1"/>
  <c r="P431" i="1" s="1"/>
  <c r="G431" i="1"/>
  <c r="O430" i="1"/>
  <c r="P430" i="1" s="1"/>
  <c r="G430" i="1"/>
  <c r="O99" i="1"/>
  <c r="P99" i="1" s="1"/>
  <c r="G99" i="1"/>
  <c r="O98" i="1"/>
  <c r="P98" i="1" s="1"/>
  <c r="G98" i="1"/>
  <c r="O429" i="1"/>
  <c r="P429" i="1" s="1"/>
  <c r="G429" i="1"/>
  <c r="O428" i="1"/>
  <c r="P428" i="1" s="1"/>
  <c r="G428" i="1"/>
  <c r="O427" i="1"/>
  <c r="P427" i="1" s="1"/>
  <c r="G427" i="1"/>
  <c r="O426" i="1"/>
  <c r="P426" i="1" s="1"/>
  <c r="G426" i="1"/>
  <c r="O425" i="1"/>
  <c r="P425" i="1" s="1"/>
  <c r="G425" i="1"/>
  <c r="O424" i="1"/>
  <c r="P424" i="1" s="1"/>
  <c r="G424" i="1"/>
  <c r="O97" i="1"/>
  <c r="P97" i="1" s="1"/>
  <c r="G97" i="1"/>
  <c r="O96" i="1"/>
  <c r="P96" i="1" s="1"/>
  <c r="G96" i="1"/>
  <c r="O95" i="1"/>
  <c r="P95" i="1" s="1"/>
  <c r="G95" i="1"/>
  <c r="O94" i="1"/>
  <c r="P94" i="1" s="1"/>
  <c r="G94" i="1"/>
  <c r="O93" i="1"/>
  <c r="P93" i="1" s="1"/>
  <c r="G93" i="1"/>
  <c r="O92" i="1"/>
  <c r="P92" i="1" s="1"/>
  <c r="G92" i="1"/>
  <c r="O91" i="1"/>
  <c r="P91" i="1" s="1"/>
  <c r="G91" i="1"/>
  <c r="O90" i="1"/>
  <c r="P90" i="1" s="1"/>
  <c r="G90" i="1"/>
  <c r="O423" i="1"/>
  <c r="P423" i="1" s="1"/>
  <c r="G423" i="1"/>
  <c r="O422" i="1"/>
  <c r="P422" i="1" s="1"/>
  <c r="G422" i="1"/>
  <c r="O421" i="1"/>
  <c r="P421" i="1" s="1"/>
  <c r="G421" i="1"/>
  <c r="O420" i="1"/>
  <c r="P420" i="1" s="1"/>
  <c r="G420" i="1"/>
  <c r="O419" i="1"/>
  <c r="P419" i="1" s="1"/>
  <c r="G419" i="1"/>
  <c r="O89" i="1"/>
  <c r="P89" i="1" s="1"/>
  <c r="G89" i="1"/>
  <c r="O88" i="1"/>
  <c r="P88" i="1" s="1"/>
  <c r="G88" i="1"/>
  <c r="O87" i="1"/>
  <c r="P87" i="1" s="1"/>
  <c r="G87" i="1"/>
  <c r="O418" i="1"/>
  <c r="P418" i="1" s="1"/>
  <c r="G418" i="1"/>
  <c r="O417" i="1"/>
  <c r="P417" i="1" s="1"/>
  <c r="G417" i="1"/>
  <c r="O416" i="1"/>
  <c r="P416" i="1" s="1"/>
  <c r="G416" i="1"/>
  <c r="O191" i="1"/>
  <c r="P191" i="1" s="1"/>
  <c r="G191" i="1"/>
  <c r="O415" i="1"/>
  <c r="P415" i="1" s="1"/>
  <c r="G415" i="1"/>
  <c r="O414" i="1"/>
  <c r="P414" i="1" s="1"/>
  <c r="G414" i="1"/>
  <c r="O413" i="1"/>
  <c r="P413" i="1" s="1"/>
  <c r="G413" i="1"/>
  <c r="O412" i="1"/>
  <c r="P412" i="1" s="1"/>
  <c r="G412" i="1"/>
  <c r="O411" i="1"/>
  <c r="P411" i="1" s="1"/>
  <c r="G411" i="1"/>
  <c r="O410" i="1"/>
  <c r="P410" i="1" s="1"/>
  <c r="G410" i="1"/>
  <c r="O409" i="1"/>
  <c r="P409" i="1" s="1"/>
  <c r="G409" i="1"/>
  <c r="O408" i="1"/>
  <c r="P408" i="1" s="1"/>
  <c r="G408" i="1"/>
  <c r="O407" i="1"/>
  <c r="P407" i="1" s="1"/>
  <c r="G407" i="1"/>
  <c r="O406" i="1"/>
  <c r="P406" i="1" s="1"/>
  <c r="G406" i="1"/>
  <c r="O405" i="1"/>
  <c r="P405" i="1" s="1"/>
  <c r="G405" i="1"/>
  <c r="O404" i="1"/>
  <c r="P404" i="1" s="1"/>
  <c r="G404" i="1"/>
  <c r="O403" i="1"/>
  <c r="P403" i="1" s="1"/>
  <c r="G403" i="1"/>
  <c r="O402" i="1"/>
  <c r="P402" i="1" s="1"/>
  <c r="G402" i="1"/>
  <c r="O86" i="1"/>
  <c r="P86" i="1" s="1"/>
  <c r="G86" i="1"/>
  <c r="O85" i="1"/>
  <c r="P85" i="1" s="1"/>
  <c r="G85" i="1"/>
  <c r="O84" i="1"/>
  <c r="P84" i="1" s="1"/>
  <c r="G84" i="1"/>
  <c r="O83" i="1"/>
  <c r="P83" i="1" s="1"/>
  <c r="G83" i="1"/>
  <c r="O401" i="1"/>
  <c r="P401" i="1" s="1"/>
  <c r="G401" i="1"/>
  <c r="O400" i="1"/>
  <c r="P400" i="1" s="1"/>
  <c r="G400" i="1"/>
  <c r="O399" i="1"/>
  <c r="P399" i="1" s="1"/>
  <c r="G399" i="1"/>
  <c r="O398" i="1"/>
  <c r="P398" i="1" s="1"/>
  <c r="G398" i="1"/>
  <c r="O397" i="1"/>
  <c r="P397" i="1" s="1"/>
  <c r="G397" i="1"/>
  <c r="O82" i="1"/>
  <c r="P82" i="1" s="1"/>
  <c r="G82" i="1"/>
  <c r="O81" i="1"/>
  <c r="P81" i="1" s="1"/>
  <c r="G81" i="1"/>
  <c r="O80" i="1"/>
  <c r="P80" i="1" s="1"/>
  <c r="G80" i="1"/>
  <c r="O396" i="1"/>
  <c r="P396" i="1" s="1"/>
  <c r="G396" i="1"/>
  <c r="O395" i="1"/>
  <c r="P395" i="1" s="1"/>
  <c r="G395" i="1"/>
  <c r="O394" i="1"/>
  <c r="P394" i="1" s="1"/>
  <c r="G394" i="1"/>
  <c r="O190" i="1"/>
  <c r="P190" i="1" s="1"/>
  <c r="G190" i="1"/>
  <c r="O393" i="1"/>
  <c r="P393" i="1" s="1"/>
  <c r="G393" i="1"/>
  <c r="O392" i="1"/>
  <c r="P392" i="1" s="1"/>
  <c r="G392" i="1"/>
  <c r="O391" i="1"/>
  <c r="P391" i="1" s="1"/>
  <c r="G391" i="1"/>
  <c r="O390" i="1"/>
  <c r="P390" i="1" s="1"/>
  <c r="G390" i="1"/>
  <c r="O389" i="1"/>
  <c r="P389" i="1" s="1"/>
  <c r="G389" i="1"/>
  <c r="O388" i="1"/>
  <c r="P388" i="1" s="1"/>
  <c r="G388" i="1"/>
  <c r="O387" i="1"/>
  <c r="P387" i="1" s="1"/>
  <c r="G387" i="1"/>
  <c r="O386" i="1"/>
  <c r="P386" i="1" s="1"/>
  <c r="G386" i="1"/>
  <c r="O385" i="1"/>
  <c r="P385" i="1" s="1"/>
  <c r="G385" i="1"/>
  <c r="O384" i="1"/>
  <c r="P384" i="1" s="1"/>
  <c r="G384" i="1"/>
  <c r="O383" i="1"/>
  <c r="P383" i="1" s="1"/>
  <c r="G383" i="1"/>
  <c r="O382" i="1"/>
  <c r="P382" i="1" s="1"/>
  <c r="G382" i="1"/>
  <c r="O381" i="1"/>
  <c r="P381" i="1" s="1"/>
  <c r="G381" i="1"/>
  <c r="O380" i="1"/>
  <c r="P380" i="1" s="1"/>
  <c r="G380" i="1"/>
  <c r="O379" i="1"/>
  <c r="P379" i="1" s="1"/>
  <c r="G379" i="1"/>
  <c r="O378" i="1"/>
  <c r="P378" i="1" s="1"/>
  <c r="G378" i="1"/>
  <c r="O79" i="1"/>
  <c r="P79" i="1" s="1"/>
  <c r="G79" i="1"/>
  <c r="O78" i="1"/>
  <c r="P78" i="1" s="1"/>
  <c r="G78" i="1"/>
  <c r="O77" i="1"/>
  <c r="P77" i="1" s="1"/>
  <c r="G77" i="1"/>
  <c r="O377" i="1"/>
  <c r="P377" i="1" s="1"/>
  <c r="G377" i="1"/>
  <c r="O376" i="1"/>
  <c r="P376" i="1" s="1"/>
  <c r="G376" i="1"/>
  <c r="O375" i="1"/>
  <c r="P375" i="1" s="1"/>
  <c r="G375" i="1"/>
  <c r="O374" i="1"/>
  <c r="P374" i="1" s="1"/>
  <c r="G374" i="1"/>
  <c r="O373" i="1"/>
  <c r="P373" i="1" s="1"/>
  <c r="G373" i="1"/>
  <c r="O372" i="1"/>
  <c r="P372" i="1" s="1"/>
  <c r="G372" i="1"/>
  <c r="O76" i="1"/>
  <c r="P76" i="1" s="1"/>
  <c r="G76" i="1"/>
  <c r="O75" i="1"/>
  <c r="P75" i="1" s="1"/>
  <c r="G75" i="1"/>
  <c r="O74" i="1"/>
  <c r="P74" i="1" s="1"/>
  <c r="G74" i="1"/>
  <c r="O371" i="1"/>
  <c r="P371" i="1" s="1"/>
  <c r="G371" i="1"/>
  <c r="O73" i="1"/>
  <c r="P73" i="1" s="1"/>
  <c r="G73" i="1"/>
  <c r="O72" i="1"/>
  <c r="P72" i="1" s="1"/>
  <c r="G72" i="1"/>
  <c r="O370" i="1"/>
  <c r="P370" i="1" s="1"/>
  <c r="G370" i="1"/>
  <c r="O369" i="1"/>
  <c r="P369" i="1" s="1"/>
  <c r="G369" i="1"/>
  <c r="O368" i="1"/>
  <c r="P368" i="1" s="1"/>
  <c r="G368" i="1"/>
  <c r="O367" i="1"/>
  <c r="P367" i="1" s="1"/>
  <c r="G367" i="1"/>
  <c r="O366" i="1"/>
  <c r="P366" i="1" s="1"/>
  <c r="G366" i="1"/>
  <c r="O365" i="1"/>
  <c r="P365" i="1" s="1"/>
  <c r="G365" i="1"/>
  <c r="O364" i="1"/>
  <c r="P364" i="1" s="1"/>
  <c r="G364" i="1"/>
  <c r="O363" i="1"/>
  <c r="P363" i="1" s="1"/>
  <c r="G363" i="1"/>
  <c r="O362" i="1"/>
  <c r="P362" i="1" s="1"/>
  <c r="G362" i="1"/>
  <c r="O361" i="1"/>
  <c r="P361" i="1" s="1"/>
  <c r="G361" i="1"/>
  <c r="O360" i="1"/>
  <c r="P360" i="1" s="1"/>
  <c r="G360" i="1"/>
  <c r="O359" i="1"/>
  <c r="P359" i="1" s="1"/>
  <c r="G359" i="1"/>
  <c r="O358" i="1"/>
  <c r="P358" i="1" s="1"/>
  <c r="G358" i="1"/>
  <c r="O357" i="1"/>
  <c r="P357" i="1" s="1"/>
  <c r="G357" i="1"/>
  <c r="O356" i="1"/>
  <c r="P356" i="1" s="1"/>
  <c r="G356" i="1"/>
  <c r="O355" i="1"/>
  <c r="P355" i="1" s="1"/>
  <c r="G355" i="1"/>
  <c r="O354" i="1"/>
  <c r="P354" i="1" s="1"/>
  <c r="G354" i="1"/>
  <c r="O353" i="1"/>
  <c r="P353" i="1" s="1"/>
  <c r="G353" i="1"/>
  <c r="O352" i="1"/>
  <c r="P352" i="1" s="1"/>
  <c r="G352" i="1"/>
  <c r="O189" i="1"/>
  <c r="P189" i="1" s="1"/>
  <c r="G189" i="1"/>
  <c r="O71" i="1"/>
  <c r="P71" i="1" s="1"/>
  <c r="G71" i="1"/>
  <c r="O70" i="1"/>
  <c r="P70" i="1" s="1"/>
  <c r="G70" i="1"/>
  <c r="O69" i="1"/>
  <c r="P69" i="1" s="1"/>
  <c r="G69" i="1"/>
  <c r="O68" i="1"/>
  <c r="P68" i="1" s="1"/>
  <c r="G68" i="1"/>
  <c r="O67" i="1"/>
  <c r="P67" i="1" s="1"/>
  <c r="G67" i="1"/>
  <c r="O66" i="1"/>
  <c r="P66" i="1" s="1"/>
  <c r="G66" i="1"/>
  <c r="O351" i="1"/>
  <c r="P351" i="1" s="1"/>
  <c r="G351" i="1"/>
  <c r="O65" i="1"/>
  <c r="P65" i="1" s="1"/>
  <c r="G65" i="1"/>
  <c r="O64" i="1"/>
  <c r="P64" i="1" s="1"/>
  <c r="G64" i="1"/>
  <c r="O350" i="1"/>
  <c r="P350" i="1" s="1"/>
  <c r="G350" i="1"/>
  <c r="O63" i="1"/>
  <c r="P63" i="1" s="1"/>
  <c r="G63" i="1"/>
  <c r="O62" i="1"/>
  <c r="P62" i="1" s="1"/>
  <c r="G62" i="1"/>
  <c r="O349" i="1"/>
  <c r="P349" i="1" s="1"/>
  <c r="G349" i="1"/>
  <c r="O348" i="1"/>
  <c r="P348" i="1" s="1"/>
  <c r="G348" i="1"/>
  <c r="O347" i="1"/>
  <c r="P347" i="1" s="1"/>
  <c r="G347" i="1"/>
  <c r="O61" i="1"/>
  <c r="P61" i="1" s="1"/>
  <c r="G61" i="1"/>
  <c r="O60" i="1"/>
  <c r="P60" i="1" s="1"/>
  <c r="G60" i="1"/>
  <c r="O346" i="1"/>
  <c r="P346" i="1" s="1"/>
  <c r="G346" i="1"/>
  <c r="O345" i="1"/>
  <c r="P345" i="1" s="1"/>
  <c r="G345" i="1"/>
  <c r="O344" i="1"/>
  <c r="P344" i="1" s="1"/>
  <c r="G344" i="1"/>
  <c r="O59" i="1"/>
  <c r="P59" i="1" s="1"/>
  <c r="G59" i="1"/>
  <c r="O58" i="1"/>
  <c r="P58" i="1" s="1"/>
  <c r="G58" i="1"/>
  <c r="O3" i="1" l="1"/>
  <c r="P3" i="1" s="1"/>
  <c r="O4" i="1"/>
  <c r="P4" i="1" s="1"/>
  <c r="O5" i="1"/>
  <c r="P5" i="1" s="1"/>
  <c r="O6" i="1"/>
  <c r="P6" i="1" s="1"/>
  <c r="O7" i="1"/>
  <c r="P7" i="1" s="1"/>
  <c r="O8" i="1"/>
  <c r="P8" i="1" s="1"/>
  <c r="O9" i="1"/>
  <c r="P9" i="1" s="1"/>
  <c r="O10" i="1"/>
  <c r="P10" i="1" s="1"/>
  <c r="O11" i="1"/>
  <c r="P11" i="1" s="1"/>
  <c r="O12" i="1"/>
  <c r="P12" i="1" s="1"/>
  <c r="O13" i="1"/>
  <c r="P13" i="1" s="1"/>
  <c r="O14" i="1"/>
  <c r="P14" i="1" s="1"/>
  <c r="O15" i="1"/>
  <c r="P15" i="1" s="1"/>
  <c r="O16" i="1"/>
  <c r="P16" i="1" s="1"/>
  <c r="O17" i="1"/>
  <c r="P17" i="1" s="1"/>
  <c r="O18" i="1"/>
  <c r="P18" i="1" s="1"/>
  <c r="O19" i="1"/>
  <c r="P19" i="1" s="1"/>
  <c r="O20" i="1"/>
  <c r="P20" i="1" s="1"/>
  <c r="O21" i="1"/>
  <c r="P21" i="1" s="1"/>
  <c r="O22" i="1"/>
  <c r="P22" i="1" s="1"/>
  <c r="O23" i="1"/>
  <c r="P23" i="1" s="1"/>
  <c r="O24" i="1"/>
  <c r="P24" i="1" s="1"/>
  <c r="O25" i="1"/>
  <c r="P25" i="1" s="1"/>
  <c r="O26" i="1"/>
  <c r="P26" i="1" s="1"/>
  <c r="O27" i="1"/>
  <c r="P27" i="1" s="1"/>
  <c r="O28" i="1"/>
  <c r="P28" i="1" s="1"/>
  <c r="O29" i="1"/>
  <c r="P29" i="1" s="1"/>
  <c r="O30" i="1"/>
  <c r="P30" i="1" s="1"/>
  <c r="O31" i="1"/>
  <c r="P31" i="1" s="1"/>
  <c r="O32" i="1"/>
  <c r="P32" i="1" s="1"/>
  <c r="O33" i="1"/>
  <c r="P33" i="1" s="1"/>
  <c r="O34" i="1"/>
  <c r="P34" i="1" s="1"/>
  <c r="O35" i="1"/>
  <c r="P35" i="1" s="1"/>
  <c r="O36" i="1"/>
  <c r="P36" i="1" s="1"/>
  <c r="O37" i="1"/>
  <c r="P37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201" i="1"/>
  <c r="P201" i="1" s="1"/>
  <c r="O202" i="1"/>
  <c r="P202" i="1" s="1"/>
  <c r="O203" i="1"/>
  <c r="P203" i="1" s="1"/>
  <c r="O204" i="1"/>
  <c r="P204" i="1" s="1"/>
  <c r="O205" i="1"/>
  <c r="P205" i="1" s="1"/>
  <c r="O206" i="1"/>
  <c r="P206" i="1" s="1"/>
  <c r="O207" i="1"/>
  <c r="P207" i="1" s="1"/>
  <c r="O208" i="1"/>
  <c r="P208" i="1" s="1"/>
  <c r="O209" i="1"/>
  <c r="P209" i="1" s="1"/>
  <c r="O210" i="1"/>
  <c r="P210" i="1" s="1"/>
  <c r="O211" i="1"/>
  <c r="P211" i="1" s="1"/>
  <c r="O212" i="1"/>
  <c r="P212" i="1" s="1"/>
  <c r="O213" i="1"/>
  <c r="P213" i="1" s="1"/>
  <c r="O214" i="1"/>
  <c r="P214" i="1" s="1"/>
  <c r="O215" i="1"/>
  <c r="P215" i="1" s="1"/>
  <c r="O216" i="1"/>
  <c r="P216" i="1" s="1"/>
  <c r="O217" i="1"/>
  <c r="P217" i="1" s="1"/>
  <c r="O218" i="1"/>
  <c r="P218" i="1" s="1"/>
  <c r="O219" i="1"/>
  <c r="P219" i="1" s="1"/>
  <c r="O220" i="1"/>
  <c r="P220" i="1" s="1"/>
  <c r="O221" i="1"/>
  <c r="P221" i="1" s="1"/>
  <c r="O222" i="1"/>
  <c r="P222" i="1" s="1"/>
  <c r="O223" i="1"/>
  <c r="P223" i="1" s="1"/>
  <c r="O224" i="1"/>
  <c r="P224" i="1" s="1"/>
  <c r="O225" i="1"/>
  <c r="P225" i="1" s="1"/>
  <c r="O226" i="1"/>
  <c r="P226" i="1" s="1"/>
  <c r="O227" i="1"/>
  <c r="P227" i="1" s="1"/>
  <c r="O228" i="1"/>
  <c r="P228" i="1" s="1"/>
  <c r="O229" i="1"/>
  <c r="P229" i="1" s="1"/>
  <c r="O230" i="1"/>
  <c r="P230" i="1" s="1"/>
  <c r="O231" i="1"/>
  <c r="P231" i="1" s="1"/>
  <c r="O232" i="1"/>
  <c r="P232" i="1" s="1"/>
  <c r="O233" i="1"/>
  <c r="P233" i="1" s="1"/>
  <c r="O234" i="1"/>
  <c r="P234" i="1" s="1"/>
  <c r="O235" i="1"/>
  <c r="P235" i="1" s="1"/>
  <c r="O236" i="1"/>
  <c r="P236" i="1" s="1"/>
  <c r="O237" i="1"/>
  <c r="P237" i="1" s="1"/>
  <c r="O238" i="1"/>
  <c r="P238" i="1" s="1"/>
  <c r="O239" i="1"/>
  <c r="P239" i="1" s="1"/>
  <c r="O240" i="1"/>
  <c r="P240" i="1" s="1"/>
  <c r="O241" i="1"/>
  <c r="P241" i="1" s="1"/>
  <c r="O242" i="1"/>
  <c r="P242" i="1" s="1"/>
  <c r="O243" i="1"/>
  <c r="P243" i="1" s="1"/>
  <c r="O244" i="1"/>
  <c r="P244" i="1" s="1"/>
  <c r="O245" i="1"/>
  <c r="P245" i="1" s="1"/>
  <c r="O246" i="1"/>
  <c r="P246" i="1" s="1"/>
  <c r="O247" i="1"/>
  <c r="P247" i="1" s="1"/>
  <c r="O248" i="1"/>
  <c r="P248" i="1" s="1"/>
  <c r="O249" i="1"/>
  <c r="P249" i="1" s="1"/>
  <c r="O250" i="1"/>
  <c r="P250" i="1" s="1"/>
  <c r="O251" i="1"/>
  <c r="P251" i="1" s="1"/>
  <c r="O252" i="1"/>
  <c r="P252" i="1" s="1"/>
  <c r="O253" i="1"/>
  <c r="P253" i="1" s="1"/>
  <c r="O254" i="1"/>
  <c r="P254" i="1" s="1"/>
  <c r="O255" i="1"/>
  <c r="P255" i="1" s="1"/>
  <c r="O256" i="1"/>
  <c r="P256" i="1" s="1"/>
  <c r="O257" i="1"/>
  <c r="P257" i="1" s="1"/>
  <c r="O258" i="1"/>
  <c r="P258" i="1" s="1"/>
  <c r="O259" i="1"/>
  <c r="P259" i="1" s="1"/>
  <c r="O260" i="1"/>
  <c r="P260" i="1" s="1"/>
  <c r="O261" i="1"/>
  <c r="P261" i="1" s="1"/>
  <c r="O262" i="1"/>
  <c r="P262" i="1" s="1"/>
  <c r="O263" i="1"/>
  <c r="P263" i="1" s="1"/>
  <c r="O264" i="1"/>
  <c r="P264" i="1" s="1"/>
  <c r="O265" i="1"/>
  <c r="P265" i="1" s="1"/>
  <c r="O266" i="1"/>
  <c r="P266" i="1" s="1"/>
  <c r="O267" i="1"/>
  <c r="P267" i="1" s="1"/>
  <c r="O268" i="1"/>
  <c r="P268" i="1" s="1"/>
  <c r="O269" i="1"/>
  <c r="P269" i="1" s="1"/>
  <c r="O270" i="1"/>
  <c r="P270" i="1" s="1"/>
  <c r="O271" i="1"/>
  <c r="P271" i="1" s="1"/>
  <c r="O272" i="1"/>
  <c r="P272" i="1" s="1"/>
  <c r="O273" i="1"/>
  <c r="P273" i="1" s="1"/>
  <c r="O274" i="1"/>
  <c r="P274" i="1" s="1"/>
  <c r="O275" i="1"/>
  <c r="P275" i="1" s="1"/>
  <c r="O276" i="1"/>
  <c r="P276" i="1" s="1"/>
  <c r="O277" i="1"/>
  <c r="P277" i="1" s="1"/>
  <c r="O278" i="1"/>
  <c r="P278" i="1" s="1"/>
  <c r="O279" i="1"/>
  <c r="P279" i="1" s="1"/>
  <c r="O280" i="1"/>
  <c r="P280" i="1" s="1"/>
  <c r="O281" i="1"/>
  <c r="P281" i="1" s="1"/>
  <c r="O282" i="1"/>
  <c r="P282" i="1" s="1"/>
  <c r="O283" i="1"/>
  <c r="P283" i="1" s="1"/>
  <c r="O284" i="1"/>
  <c r="P284" i="1" s="1"/>
  <c r="O285" i="1"/>
  <c r="P285" i="1" s="1"/>
  <c r="O286" i="1"/>
  <c r="P286" i="1" s="1"/>
  <c r="O287" i="1"/>
  <c r="P287" i="1" s="1"/>
  <c r="O288" i="1"/>
  <c r="P288" i="1" s="1"/>
  <c r="O289" i="1"/>
  <c r="P289" i="1" s="1"/>
  <c r="O290" i="1"/>
  <c r="P290" i="1" s="1"/>
  <c r="O291" i="1"/>
  <c r="P291" i="1" s="1"/>
  <c r="O292" i="1"/>
  <c r="P292" i="1" s="1"/>
  <c r="O38" i="1"/>
  <c r="P38" i="1" s="1"/>
  <c r="O181" i="1"/>
  <c r="P181" i="1" s="1"/>
  <c r="O293" i="1"/>
  <c r="P293" i="1" s="1"/>
  <c r="O294" i="1"/>
  <c r="P294" i="1" s="1"/>
  <c r="O295" i="1"/>
  <c r="P295" i="1" s="1"/>
  <c r="O296" i="1"/>
  <c r="P296" i="1" s="1"/>
  <c r="O297" i="1"/>
  <c r="P297" i="1" s="1"/>
  <c r="O298" i="1"/>
  <c r="P298" i="1" s="1"/>
  <c r="O299" i="1"/>
  <c r="P299" i="1" s="1"/>
  <c r="O300" i="1"/>
  <c r="P300" i="1" s="1"/>
  <c r="O301" i="1"/>
  <c r="P301" i="1" s="1"/>
  <c r="O302" i="1"/>
  <c r="P302" i="1" s="1"/>
  <c r="O303" i="1"/>
  <c r="P303" i="1" s="1"/>
  <c r="O182" i="1"/>
  <c r="P182" i="1" s="1"/>
  <c r="O183" i="1"/>
  <c r="P183" i="1" s="1"/>
  <c r="O39" i="1"/>
  <c r="P39" i="1" s="1"/>
  <c r="O40" i="1"/>
  <c r="P40" i="1" s="1"/>
  <c r="O41" i="1"/>
  <c r="P41" i="1" s="1"/>
  <c r="O42" i="1"/>
  <c r="P42" i="1" s="1"/>
  <c r="O43" i="1"/>
  <c r="P43" i="1" s="1"/>
  <c r="O304" i="1"/>
  <c r="P304" i="1" s="1"/>
  <c r="O305" i="1"/>
  <c r="P305" i="1" s="1"/>
  <c r="O44" i="1"/>
  <c r="P44" i="1" s="1"/>
  <c r="O306" i="1"/>
  <c r="P306" i="1" s="1"/>
  <c r="O307" i="1"/>
  <c r="P307" i="1" s="1"/>
  <c r="O184" i="1"/>
  <c r="P184" i="1" s="1"/>
  <c r="O185" i="1"/>
  <c r="P185" i="1" s="1"/>
  <c r="O308" i="1"/>
  <c r="P308" i="1" s="1"/>
  <c r="O309" i="1"/>
  <c r="P309" i="1" s="1"/>
  <c r="O310" i="1"/>
  <c r="P310" i="1" s="1"/>
  <c r="O311" i="1"/>
  <c r="P311" i="1" s="1"/>
  <c r="O312" i="1"/>
  <c r="P312" i="1" s="1"/>
  <c r="O313" i="1"/>
  <c r="P313" i="1" s="1"/>
  <c r="O314" i="1"/>
  <c r="P314" i="1" s="1"/>
  <c r="O315" i="1"/>
  <c r="P315" i="1" s="1"/>
  <c r="O317" i="1"/>
  <c r="P317" i="1" s="1"/>
  <c r="O318" i="1"/>
  <c r="P318" i="1" s="1"/>
  <c r="O319" i="1"/>
  <c r="P319" i="1" s="1"/>
  <c r="O320" i="1"/>
  <c r="P320" i="1" s="1"/>
  <c r="O321" i="1"/>
  <c r="P321" i="1" s="1"/>
  <c r="O322" i="1"/>
  <c r="P322" i="1" s="1"/>
  <c r="O323" i="1"/>
  <c r="P323" i="1" s="1"/>
  <c r="O186" i="1"/>
  <c r="P186" i="1" s="1"/>
  <c r="O324" i="1"/>
  <c r="P324" i="1" s="1"/>
  <c r="O45" i="1"/>
  <c r="P45" i="1" s="1"/>
  <c r="O46" i="1"/>
  <c r="P46" i="1" s="1"/>
  <c r="O325" i="1"/>
  <c r="P325" i="1" s="1"/>
  <c r="O47" i="1"/>
  <c r="P47" i="1" s="1"/>
  <c r="O326" i="1"/>
  <c r="P326" i="1" s="1"/>
  <c r="O48" i="1"/>
  <c r="P48" i="1" s="1"/>
  <c r="O49" i="1"/>
  <c r="P49" i="1" s="1"/>
  <c r="O50" i="1"/>
  <c r="P50" i="1" s="1"/>
  <c r="O327" i="1"/>
  <c r="P327" i="1" s="1"/>
  <c r="O328" i="1"/>
  <c r="P328" i="1" s="1"/>
  <c r="O329" i="1"/>
  <c r="P329" i="1" s="1"/>
  <c r="O330" i="1"/>
  <c r="P330" i="1" s="1"/>
  <c r="O187" i="1"/>
  <c r="P187" i="1" s="1"/>
  <c r="O331" i="1"/>
  <c r="P331" i="1" s="1"/>
  <c r="O332" i="1"/>
  <c r="P332" i="1" s="1"/>
  <c r="O333" i="1"/>
  <c r="P333" i="1" s="1"/>
  <c r="O334" i="1"/>
  <c r="P334" i="1" s="1"/>
  <c r="O335" i="1"/>
  <c r="P335" i="1" s="1"/>
  <c r="O336" i="1"/>
  <c r="P336" i="1" s="1"/>
  <c r="O51" i="1"/>
  <c r="P51" i="1" s="1"/>
  <c r="O52" i="1"/>
  <c r="P52" i="1" s="1"/>
  <c r="O53" i="1"/>
  <c r="P53" i="1" s="1"/>
  <c r="O54" i="1"/>
  <c r="P54" i="1" s="1"/>
  <c r="O188" i="1"/>
  <c r="P188" i="1" s="1"/>
  <c r="O55" i="1"/>
  <c r="P55" i="1" s="1"/>
  <c r="O337" i="1"/>
  <c r="P337" i="1" s="1"/>
  <c r="O338" i="1"/>
  <c r="P338" i="1" s="1"/>
  <c r="O56" i="1"/>
  <c r="P56" i="1" s="1"/>
  <c r="O339" i="1"/>
  <c r="P339" i="1" s="1"/>
  <c r="O340" i="1"/>
  <c r="P340" i="1" s="1"/>
  <c r="O57" i="1"/>
  <c r="P57" i="1" s="1"/>
  <c r="O341" i="1"/>
  <c r="P341" i="1" s="1"/>
  <c r="O342" i="1"/>
  <c r="P342" i="1" s="1"/>
  <c r="O343" i="1"/>
  <c r="P343" i="1" s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175" i="1"/>
  <c r="G176" i="1"/>
  <c r="G177" i="1"/>
  <c r="G178" i="1"/>
  <c r="G179" i="1"/>
  <c r="G18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38" i="1"/>
  <c r="G181" i="1"/>
  <c r="G293" i="1"/>
  <c r="G294" i="1"/>
  <c r="G295" i="1"/>
  <c r="G296" i="1"/>
  <c r="G297" i="1"/>
  <c r="G298" i="1"/>
  <c r="G299" i="1"/>
  <c r="G300" i="1"/>
  <c r="G301" i="1"/>
  <c r="G302" i="1"/>
  <c r="G303" i="1"/>
  <c r="G182" i="1"/>
  <c r="G183" i="1"/>
  <c r="G39" i="1"/>
  <c r="G40" i="1"/>
  <c r="G41" i="1"/>
  <c r="G42" i="1"/>
  <c r="G43" i="1"/>
  <c r="G304" i="1"/>
  <c r="G305" i="1"/>
  <c r="G44" i="1"/>
  <c r="G306" i="1"/>
  <c r="G307" i="1"/>
  <c r="G184" i="1"/>
  <c r="G185" i="1"/>
  <c r="G308" i="1"/>
  <c r="G309" i="1"/>
  <c r="G310" i="1"/>
  <c r="G311" i="1"/>
  <c r="G312" i="1"/>
  <c r="G313" i="1"/>
  <c r="G314" i="1"/>
  <c r="G315" i="1"/>
  <c r="G317" i="1"/>
  <c r="G318" i="1"/>
  <c r="G319" i="1"/>
  <c r="G320" i="1"/>
  <c r="G321" i="1"/>
  <c r="G322" i="1"/>
  <c r="G323" i="1"/>
  <c r="G186" i="1"/>
  <c r="G324" i="1"/>
  <c r="G45" i="1"/>
  <c r="G46" i="1"/>
  <c r="G325" i="1"/>
  <c r="G47" i="1"/>
  <c r="G326" i="1"/>
  <c r="G48" i="1"/>
  <c r="G49" i="1"/>
  <c r="G50" i="1"/>
  <c r="G327" i="1"/>
  <c r="G328" i="1"/>
  <c r="G329" i="1"/>
  <c r="G330" i="1"/>
  <c r="G187" i="1"/>
  <c r="G331" i="1"/>
  <c r="G332" i="1"/>
  <c r="G333" i="1"/>
  <c r="G334" i="1"/>
  <c r="G335" i="1"/>
  <c r="G336" i="1"/>
  <c r="G51" i="1"/>
  <c r="G52" i="1"/>
  <c r="G53" i="1"/>
  <c r="G54" i="1"/>
  <c r="G188" i="1"/>
  <c r="G55" i="1"/>
  <c r="G337" i="1"/>
  <c r="G338" i="1"/>
  <c r="G56" i="1"/>
  <c r="G339" i="1"/>
  <c r="G340" i="1"/>
  <c r="G57" i="1"/>
  <c r="G341" i="1"/>
  <c r="G342" i="1"/>
  <c r="G343" i="1"/>
  <c r="G2" i="1" l="1"/>
  <c r="O2" i="1" l="1"/>
  <c r="P2" i="1" l="1"/>
</calcChain>
</file>

<file path=xl/sharedStrings.xml><?xml version="1.0" encoding="utf-8"?>
<sst xmlns="http://schemas.openxmlformats.org/spreadsheetml/2006/main" count="6528" uniqueCount="2159">
  <si>
    <t>Date</t>
  </si>
  <si>
    <t>Fault No</t>
  </si>
  <si>
    <t>Location (Town)</t>
  </si>
  <si>
    <t>Apparatus Tripped</t>
  </si>
  <si>
    <t>Substation Area</t>
  </si>
  <si>
    <t>Weather</t>
  </si>
  <si>
    <t>Time Reclosed</t>
  </si>
  <si>
    <t>Downtime (Hours)</t>
  </si>
  <si>
    <t>Reported By</t>
  </si>
  <si>
    <t>Comments</t>
  </si>
  <si>
    <t>Month</t>
  </si>
  <si>
    <t>Severity</t>
  </si>
  <si>
    <t>002/23</t>
  </si>
  <si>
    <t>Thamaga</t>
  </si>
  <si>
    <t>South</t>
  </si>
  <si>
    <t>Clear</t>
  </si>
  <si>
    <t>ARC</t>
  </si>
  <si>
    <t>SCADA</t>
  </si>
  <si>
    <t>January</t>
  </si>
  <si>
    <t>003/23</t>
  </si>
  <si>
    <t>Fancistown</t>
  </si>
  <si>
    <t>North</t>
  </si>
  <si>
    <t>Storm</t>
  </si>
  <si>
    <t>SCADA/Garebatho</t>
  </si>
  <si>
    <t>Load loss to Sowa Mine</t>
  </si>
  <si>
    <t>004/23</t>
  </si>
  <si>
    <t>Jwaneng</t>
  </si>
  <si>
    <t>SCADA/Mosarwe</t>
  </si>
  <si>
    <t>Bus zone trip</t>
  </si>
  <si>
    <t>005/23</t>
  </si>
  <si>
    <t>Orapa</t>
  </si>
  <si>
    <t>Rainy</t>
  </si>
  <si>
    <t>Diff, HV Stdby E/F &amp; HV (IDMT) O/C protn</t>
  </si>
  <si>
    <t>SCADA/Theophilus</t>
  </si>
  <si>
    <t>LV O/C trip, Winding Temp Trip &amp; Oil Temp Alarm</t>
  </si>
  <si>
    <t>006/23</t>
  </si>
  <si>
    <t>Legotlhwane</t>
  </si>
  <si>
    <t>North/South</t>
  </si>
  <si>
    <t>3-phase trip + ARC indication</t>
  </si>
  <si>
    <t>007/23</t>
  </si>
  <si>
    <t>Sua Pan</t>
  </si>
  <si>
    <t>008/23</t>
  </si>
  <si>
    <t>Samochima</t>
  </si>
  <si>
    <t>SCADA/Mosala</t>
  </si>
  <si>
    <t>Tripped due to unavailability of 110V DC supply</t>
  </si>
  <si>
    <t>009/23</t>
  </si>
  <si>
    <t>Phokoje</t>
  </si>
  <si>
    <t>Central</t>
  </si>
  <si>
    <t>SCADA/Sekgatlhola</t>
  </si>
  <si>
    <t>Master trip, DTTS, DTTR, PS L1</t>
  </si>
  <si>
    <t>14/01/2023</t>
  </si>
  <si>
    <t>010/21</t>
  </si>
  <si>
    <t>Morupule A</t>
  </si>
  <si>
    <t>SCADA/Keditlwaetse</t>
  </si>
  <si>
    <t>Loss of Flame, Generation dropped from 18MW to 0MW</t>
  </si>
  <si>
    <t>15/01/2023</t>
  </si>
  <si>
    <t>011/23</t>
  </si>
  <si>
    <t>Main A &amp; B Master trip, DTTS, DTTR</t>
  </si>
  <si>
    <t>17/01/2023</t>
  </si>
  <si>
    <t>112/23</t>
  </si>
  <si>
    <t>SCADA/Miti</t>
  </si>
  <si>
    <t>Main A: Master trip, DTTS, DTTR</t>
  </si>
  <si>
    <t>113/23</t>
  </si>
  <si>
    <t>Woodhall</t>
  </si>
  <si>
    <t>Cloudy</t>
  </si>
  <si>
    <t>SCADA/Ramacha</t>
  </si>
  <si>
    <t>26/01/2023</t>
  </si>
  <si>
    <t>015/23</t>
  </si>
  <si>
    <t>SCADA/DICK</t>
  </si>
  <si>
    <t>Generator reverse power trip</t>
  </si>
  <si>
    <t>116/23</t>
  </si>
  <si>
    <t>Buchholz trip due to valve issue during maintenance</t>
  </si>
  <si>
    <t>29/01/2023</t>
  </si>
  <si>
    <t>016/23</t>
  </si>
  <si>
    <t>MASTER TRIP</t>
  </si>
  <si>
    <t>SCADA/MMUSI</t>
  </si>
  <si>
    <t>30/01/2023</t>
  </si>
  <si>
    <t>017/23</t>
  </si>
  <si>
    <t>S/Phikwe</t>
  </si>
  <si>
    <t>Raining</t>
  </si>
  <si>
    <t>Bus Zone A+B trip</t>
  </si>
  <si>
    <t>31/01/2023</t>
  </si>
  <si>
    <t>019/23</t>
  </si>
  <si>
    <t>Power Swing, Master trip, DTTS, DTTR</t>
  </si>
  <si>
    <t>020/23</t>
  </si>
  <si>
    <t>021/23</t>
  </si>
  <si>
    <t>Makoba</t>
  </si>
  <si>
    <t>North West</t>
  </si>
  <si>
    <t>General trip, Impedance Zone 1, Bus CB Fail</t>
  </si>
  <si>
    <t>028/23</t>
  </si>
  <si>
    <t>Motheo Mine</t>
  </si>
  <si>
    <t>Master Trip(A), TCSR(M), TCSR(Bu), TOP, CAR 3 &amp; CAR 4</t>
  </si>
  <si>
    <t>February</t>
  </si>
  <si>
    <t>030/23</t>
  </si>
  <si>
    <t>Morupule A Unit 3 tripped</t>
  </si>
  <si>
    <t>SCADA/Gabatshamekwe</t>
  </si>
  <si>
    <t>Unit trip, restoration after investigation</t>
  </si>
  <si>
    <t>031/23</t>
  </si>
  <si>
    <t>Thunder Storm</t>
  </si>
  <si>
    <t>Zone 1 Impedance trip, 1-phase trip + ARC, fault at 64.2km</t>
  </si>
  <si>
    <t>034/23</t>
  </si>
  <si>
    <t>Main A &amp; B Master trip, DTTS, DTTR, PS L1</t>
  </si>
  <si>
    <t>036/23</t>
  </si>
  <si>
    <t>Orapa 2 GEN Tx 1: LV CB 01BAT10</t>
  </si>
  <si>
    <t>SCADA/Batleng</t>
  </si>
  <si>
    <t>DIFF protection operated</t>
  </si>
  <si>
    <t>037/23</t>
  </si>
  <si>
    <t>Morupule</t>
  </si>
  <si>
    <t>Rain</t>
  </si>
  <si>
    <t>SCADA/Moalosi</t>
  </si>
  <si>
    <t>F1 &amp; F2 Current Diff Prot, Multi-Terminal Relay trip, UV, lockout</t>
  </si>
  <si>
    <t>13/02/2023</t>
  </si>
  <si>
    <t>040/23</t>
  </si>
  <si>
    <t>Mawana</t>
  </si>
  <si>
    <t>SCADA/Baoki</t>
  </si>
  <si>
    <t>I/T send, Current diff and OC/EF</t>
  </si>
  <si>
    <t>14/02/2023</t>
  </si>
  <si>
    <t>041/23</t>
  </si>
  <si>
    <t>Ghanzi</t>
  </si>
  <si>
    <t>SCADA/Kahona</t>
  </si>
  <si>
    <t>No indications, control issue suspected</t>
  </si>
  <si>
    <t>16/02/2023</t>
  </si>
  <si>
    <t>045/23</t>
  </si>
  <si>
    <t>Rakola</t>
  </si>
  <si>
    <t>SOTF, W &amp; B Phase Imp E/F</t>
  </si>
  <si>
    <t>048/23</t>
  </si>
  <si>
    <t>Segoditshane</t>
  </si>
  <si>
    <t>DTTR I/T S/R trip, 3-phase trip+L/O</t>
  </si>
  <si>
    <t>049/23</t>
  </si>
  <si>
    <t>Zm1-Zm3, PST, PSW, PSN, CRZ, CSZ; Distance to fault: 81.4km</t>
  </si>
  <si>
    <t>17/02/2023</t>
  </si>
  <si>
    <t>051/23</t>
  </si>
  <si>
    <t>Fancistown West</t>
  </si>
  <si>
    <t>SCADA/Serema</t>
  </si>
  <si>
    <t>Earth Fault (E/F) protection trip</t>
  </si>
  <si>
    <t>18/02/2023</t>
  </si>
  <si>
    <t>052/23</t>
  </si>
  <si>
    <t>050/23</t>
  </si>
  <si>
    <t>SCADA/Sere</t>
  </si>
  <si>
    <t>48V DC mains fail, short outage, auto-reclose</t>
  </si>
  <si>
    <t>055/23</t>
  </si>
  <si>
    <t>1-phase trip + ARC, no restoration</t>
  </si>
  <si>
    <t>19/02/2023</t>
  </si>
  <si>
    <t>056/23</t>
  </si>
  <si>
    <t>3-phase trip + L/O</t>
  </si>
  <si>
    <t>20/02/2023</t>
  </si>
  <si>
    <t>059/23</t>
  </si>
  <si>
    <t>Under Frequency, Main A: Master trip, DTTS, DTTR, PSL1-3</t>
  </si>
  <si>
    <t>060/23</t>
  </si>
  <si>
    <t>21/02/2023</t>
  </si>
  <si>
    <t>061/23</t>
  </si>
  <si>
    <t>DIFF trip, 3-phase trip+L/O</t>
  </si>
  <si>
    <t>24/02/2023</t>
  </si>
  <si>
    <t>063/23</t>
  </si>
  <si>
    <t>Main B power swing, DIR Trans Receive, Master Trip, Protection Trip</t>
  </si>
  <si>
    <t>079/23</t>
  </si>
  <si>
    <t>March</t>
  </si>
  <si>
    <t>082/23</t>
  </si>
  <si>
    <t>Master trip, DTTS, DTTR, PS L1, Distance to fault: 56.2km</t>
  </si>
  <si>
    <t>083/23</t>
  </si>
  <si>
    <t>Main A: Master trip, DTTS, DTTR, PS L1</t>
  </si>
  <si>
    <t>084/23</t>
  </si>
  <si>
    <t>Main B: Master trip, DTTS, DTTR, PS L1</t>
  </si>
  <si>
    <t>14/03/2023</t>
  </si>
  <si>
    <t>078/23</t>
  </si>
  <si>
    <t>Boteti</t>
  </si>
  <si>
    <t>SCADA/Boteti</t>
  </si>
  <si>
    <t>Buchholz trip, Oil surge, internal fault suspected</t>
  </si>
  <si>
    <t>076/23</t>
  </si>
  <si>
    <t>DIFF trip, 3-phase trip + L/O</t>
  </si>
  <si>
    <t>15/03/2023</t>
  </si>
  <si>
    <t>Ramotswa</t>
  </si>
  <si>
    <t>BU protection Relay: lockout trip, TCS unhealthy, 87L trip, fault at 3.8km</t>
  </si>
  <si>
    <t>SCADA/Bonno</t>
  </si>
  <si>
    <t>1-phase trip + ARC</t>
  </si>
  <si>
    <t>087/23</t>
  </si>
  <si>
    <t>Tlokweng</t>
  </si>
  <si>
    <t>SCADA/Tlokweng</t>
  </si>
  <si>
    <t>O/C trip, Master trip</t>
  </si>
  <si>
    <t>19/03/2023</t>
  </si>
  <si>
    <t>105/23</t>
  </si>
  <si>
    <t>Distance Zone 1 &amp; 2, 3-phase trip + L/O</t>
  </si>
  <si>
    <t>21/03/2023</t>
  </si>
  <si>
    <t>085/23</t>
  </si>
  <si>
    <t>SCADA/Orapa</t>
  </si>
  <si>
    <t>3-phase trip, distance to fault 48.2km, load loss reported</t>
  </si>
  <si>
    <t>22/03/2023</t>
  </si>
  <si>
    <t>089/23</t>
  </si>
  <si>
    <t>Hydromet</t>
  </si>
  <si>
    <t>E/F protection (Red phase), A=2378A, G=2174A</t>
  </si>
  <si>
    <t>31/03/2023</t>
  </si>
  <si>
    <t>096/23</t>
  </si>
  <si>
    <t>097/23</t>
  </si>
  <si>
    <t>Gabane South</t>
  </si>
  <si>
    <t>SCADA/Kololo</t>
  </si>
  <si>
    <t>Imp trip Z1, Z2, DTTS, 3-phase trip + L/O</t>
  </si>
  <si>
    <t>106/23</t>
  </si>
  <si>
    <t>General trip, Impedance Zone 1, Bus CB Fail, ARC initiated</t>
  </si>
  <si>
    <t>107/23</t>
  </si>
  <si>
    <t>Mmakgodumo</t>
  </si>
  <si>
    <t>Zone 1 Impedance, 3-phase trip + L/O, fault at 88.6km</t>
  </si>
  <si>
    <t>Distance protection trip, line DIFF protection trip Wɸ operated</t>
  </si>
  <si>
    <t>Master trip, no restoration indication  likely ARC</t>
  </si>
  <si>
    <t>Earth Fault (E/F) protection trip recurrence</t>
  </si>
  <si>
    <t>No time reclosed  likely no restoration indication; breaker sequence: Tripped</t>
  </si>
  <si>
    <t>Fault type</t>
  </si>
  <si>
    <t>03:28</t>
  </si>
  <si>
    <t>08:09</t>
  </si>
  <si>
    <t>02:14</t>
  </si>
  <si>
    <t>08:31</t>
  </si>
  <si>
    <t>07:23</t>
  </si>
  <si>
    <t>09:18</t>
  </si>
  <si>
    <t>00:53</t>
  </si>
  <si>
    <t>00:00</t>
  </si>
  <si>
    <t>00:20</t>
  </si>
  <si>
    <t>05:06</t>
  </si>
  <si>
    <t>01:40</t>
  </si>
  <si>
    <t>00:09</t>
  </si>
  <si>
    <t>06:02</t>
  </si>
  <si>
    <t>08:29</t>
  </si>
  <si>
    <t>Trip Time</t>
  </si>
  <si>
    <t>08:51</t>
  </si>
  <si>
    <t>00:16</t>
  </si>
  <si>
    <t>09:48</t>
  </si>
  <si>
    <t>00:31</t>
  </si>
  <si>
    <t>09:09</t>
  </si>
  <si>
    <t>02:52</t>
  </si>
  <si>
    <t>05:55</t>
  </si>
  <si>
    <t>02:44</t>
  </si>
  <si>
    <t>00:56</t>
  </si>
  <si>
    <t>08:40</t>
  </si>
  <si>
    <t>System Type</t>
  </si>
  <si>
    <t>Thamaga - Rakola 220 line CB L45</t>
  </si>
  <si>
    <t>Francistown - Dukwe 132 Line CB 205</t>
  </si>
  <si>
    <t>Jwaneng 132/33  T8: LV CB 8HO</t>
  </si>
  <si>
    <t>Orapa1 220/33 Transformer 1: HV CB H10</t>
  </si>
  <si>
    <t>Orapa1 220/33 Transformer 2: LV CB H10</t>
  </si>
  <si>
    <t>Legotlhwane - Makoba 132 line CB 305</t>
  </si>
  <si>
    <t>Sua Pan 132/11 CBs 3L5 &amp; 4L5</t>
  </si>
  <si>
    <t>Overcurrent protection, smoke on 11 busbar, Botash not importing</t>
  </si>
  <si>
    <t>Samochima - Makoba 132 line CB 305</t>
  </si>
  <si>
    <t>Phokoje - Insukamini 400 Line CB 2L5</t>
  </si>
  <si>
    <t>Morupule A Unit 4 220 CB G40 tripped</t>
  </si>
  <si>
    <t>Woodhall 132/11 Transformer 1A: LV CB 1HO</t>
  </si>
  <si>
    <t>Phokoje - 400/220 TRF 2: HV CB 2H0</t>
  </si>
  <si>
    <t>Orapa 1 220/33 Transformer 1: HV CB H10</t>
  </si>
  <si>
    <t>Orapa 1 220/33 Transformer 2: LV CB H10</t>
  </si>
  <si>
    <t>S/Phikwe 66 Bus Section CB 120</t>
  </si>
  <si>
    <t>Francistown - Dukwe 132 Line CB 205</t>
  </si>
  <si>
    <t>Makoba- Samochima 132 line CB 105</t>
  </si>
  <si>
    <t>Motheo Mine 132/11 T1: HV CB 110</t>
  </si>
  <si>
    <t>Thamaga - Jwaneng 2 132 Line CB 505</t>
  </si>
  <si>
    <t>MORPB - MORPA 400/220 Intertie Tx HV CB 1TO</t>
  </si>
  <si>
    <t>Mmakgodumo - Kanye 132 line CB 305</t>
  </si>
  <si>
    <t>Ghanzi 132/11 Transformer 1 HV CB 110B</t>
  </si>
  <si>
    <t>Rakola - Molepolole 132 Line CB 205</t>
  </si>
  <si>
    <t>Segoditshane - Rakola 132 line CB L25</t>
  </si>
  <si>
    <t>F/town - Dukwe 132 line CB 205</t>
  </si>
  <si>
    <t>FWST 132/11 T1A &amp; T2A: 11 CBs 1HOA &amp; 2HOA</t>
  </si>
  <si>
    <t>Dukwe - F/town 132 line CB 505</t>
  </si>
  <si>
    <t>Segs - Dwaarsberg 132 Line CB 905</t>
  </si>
  <si>
    <t>Phokoje - Insukamini 400 line CB 2L5</t>
  </si>
  <si>
    <t>BDHT 132/11 Transformer 3 &amp; Bus Section</t>
  </si>
  <si>
    <t>Ramotswa - Woodhall 132 Line CB 105</t>
  </si>
  <si>
    <t>Thamaga - Jwaneng 132 line 1 CB 305</t>
  </si>
  <si>
    <t>Tlokweng 132/11 Transformer 1: LV CB 1HO</t>
  </si>
  <si>
    <t>MORP A - Serule 220 Line CB L15</t>
  </si>
  <si>
    <t>Letlhakane - Karowe 132 Line CB 305</t>
  </si>
  <si>
    <t>Hydromet - Phoenix 66 Line 1 CB 505</t>
  </si>
  <si>
    <t>Woodhall 132/33 TRF 3: HV CB 310 &amp; LV CB H30</t>
  </si>
  <si>
    <t>Gabane South - Dwaarsberg 132 Line CB 105</t>
  </si>
  <si>
    <t>Makoba - Samochima 132 Line CB 105</t>
  </si>
  <si>
    <t>Mmakgodumo - Thamaga 132 Line CB 205</t>
  </si>
  <si>
    <t>18/04/2022</t>
  </si>
  <si>
    <t>117/23</t>
  </si>
  <si>
    <t>Kanye</t>
  </si>
  <si>
    <t>Kanye 132/11 kV Transformer 1: LV CB 1HO</t>
  </si>
  <si>
    <t>Trip was due to a through fault from feeder 4L5.</t>
  </si>
  <si>
    <t>April</t>
  </si>
  <si>
    <t>Kanye 132/11 kV Transformer 2: LV CB 2H0</t>
  </si>
  <si>
    <t>118/23</t>
  </si>
  <si>
    <t>Trip was due to a through fault from feeder 4L5. Further patrolling carried out.</t>
  </si>
  <si>
    <t>Segs</t>
  </si>
  <si>
    <t>Isang</t>
  </si>
  <si>
    <t>22/04/2022</t>
  </si>
  <si>
    <t>120/23</t>
  </si>
  <si>
    <t>Letlhakane</t>
  </si>
  <si>
    <t>Letlhakane 220/132kV TRF 4 LV CB 480</t>
  </si>
  <si>
    <t>North/West</t>
  </si>
  <si>
    <t>Letlhakane 220/132kV TRF 4 and Karowe 132kV income line CB 105 tripped while Contractor was injecting a signal after simulating a Blue phase fault trip.</t>
  </si>
  <si>
    <t>HV CB H40</t>
  </si>
  <si>
    <t>Karowe</t>
  </si>
  <si>
    <t>Karowe -Letlhakane132kV line CB 105</t>
  </si>
  <si>
    <t>104/23</t>
  </si>
  <si>
    <t>Segs - Dwaarsberg 132kV line CB 905</t>
  </si>
  <si>
    <t>No load loss</t>
  </si>
  <si>
    <t>SEGS</t>
  </si>
  <si>
    <t>SEGS - BDHT/MOGS 1 132kV line CB 605</t>
  </si>
  <si>
    <t>Ramotswa &amp; Gabane / Mochudi 33kV line feeders.</t>
  </si>
  <si>
    <t>BDHT</t>
  </si>
  <si>
    <t>BDHT 132/11kV Transformer 1</t>
  </si>
  <si>
    <t>SCADA / Ntoko</t>
  </si>
  <si>
    <t>BDHT 132/11kV Transformer 4</t>
  </si>
  <si>
    <t>MOGS</t>
  </si>
  <si>
    <t>MOGS 132/33kV Transformer 1</t>
  </si>
  <si>
    <t>33 OVERVOLTAGE TRIP, Winding Temp Alarm &amp; Trip Low set, Master trip</t>
  </si>
  <si>
    <t>MOGS 132/33kV Transformer 2</t>
  </si>
  <si>
    <t>Gabane</t>
  </si>
  <si>
    <t>Gab south - Tlokweng 132kV line CB 905</t>
  </si>
  <si>
    <t>SCADA / Charles</t>
  </si>
  <si>
    <t>NIL</t>
  </si>
  <si>
    <t>MORP</t>
  </si>
  <si>
    <t>MORP A - Serule line CB L65</t>
  </si>
  <si>
    <t>Central/South</t>
  </si>
  <si>
    <t>CLEAR</t>
  </si>
  <si>
    <t>SCADA/.Moalosi</t>
  </si>
  <si>
    <t>Serule</t>
  </si>
  <si>
    <t>Serule - MORP A line CB L55</t>
  </si>
  <si>
    <t>108/23</t>
  </si>
  <si>
    <t>Kgale</t>
  </si>
  <si>
    <t>Kgale view 132kv line CB 405</t>
  </si>
  <si>
    <t>SCADA/KOLOLO</t>
  </si>
  <si>
    <t>It was advised that the line did not trip at Jwaneng End.</t>
  </si>
  <si>
    <t>132 Kv Bus Coupler CB 230</t>
  </si>
  <si>
    <t>220/132 Kv T2 : HV CB H20</t>
  </si>
  <si>
    <t>:LV CB 280</t>
  </si>
  <si>
    <t>111/23</t>
  </si>
  <si>
    <t>Morp A Generator 2 12kv CB 2GO</t>
  </si>
  <si>
    <t>SCADA / Ralesota</t>
  </si>
  <si>
    <t>Load loss: 20 MW, 151.3 MWh</t>
  </si>
  <si>
    <t>110/23</t>
  </si>
  <si>
    <t>Mmakgodumo - Thamaga 132kV Line CB 105</t>
  </si>
  <si>
    <t>SCADA /BAOKI</t>
  </si>
  <si>
    <t>Thamaga - Mmakgodumo 132kV Line CB 205</t>
  </si>
  <si>
    <t>220/132 Transformer HV CB H10</t>
  </si>
  <si>
    <t>SCADA/MAKOKO</t>
  </si>
  <si>
    <t>220/132 Transformer LV CB 180</t>
  </si>
  <si>
    <t>132kV Bus Coupler CB 230</t>
  </si>
  <si>
    <t>Segoditshane- Phakalane 132kV line CB 805</t>
  </si>
  <si>
    <t>PHAKALANE SUB, load loss</t>
  </si>
  <si>
    <t>Phakalane</t>
  </si>
  <si>
    <t>Phakalane- segoditshane 132kV line CB 105</t>
  </si>
  <si>
    <t>Did not trip. Switched off as precaution.</t>
  </si>
  <si>
    <t>13/04/2023</t>
  </si>
  <si>
    <t>114/23</t>
  </si>
  <si>
    <t>17/04/2023</t>
  </si>
  <si>
    <t>Letlhakane 220/132kV TRF4 LV CB 480</t>
  </si>
  <si>
    <t>North / West</t>
  </si>
  <si>
    <t>SCADA/Theophillus</t>
  </si>
  <si>
    <t>This trip occurred when works under LOA 321/23 was on progress, with trip links removed and B/Z relay OFF. SNR Eng. Advised that LOA should be cancelled and prepare for another one for investigating this wrong tripping.</t>
  </si>
  <si>
    <t>132kV B/Coupler CB 530</t>
  </si>
  <si>
    <t>21/04/2023</t>
  </si>
  <si>
    <t>Phokoje - Insukamini 400kV line CB 2L5</t>
  </si>
  <si>
    <t>Scada</t>
  </si>
  <si>
    <t>Insukamini</t>
  </si>
  <si>
    <t>Insukamini - Phokoje 400kV line</t>
  </si>
  <si>
    <t>ZESA</t>
  </si>
  <si>
    <t>26/04/2023</t>
  </si>
  <si>
    <t>121/23</t>
  </si>
  <si>
    <t>Jwaneng 132/33kV Transformer 9 HV CB 410</t>
  </si>
  <si>
    <t>SCADA / Mosarwe</t>
  </si>
  <si>
    <t>Load loss to Debswana Mine Boreholes power supply.</t>
  </si>
  <si>
    <t>Jwaneng 132/33kV Transformer 9 LV CB 9H0</t>
  </si>
  <si>
    <t>124/23</t>
  </si>
  <si>
    <t>SEGS - B/HURST - MOGS 2 132kV line CB 405</t>
  </si>
  <si>
    <t>SCADA/SELEI</t>
  </si>
  <si>
    <t>O/C &amp; Directional E/F Relay: white, blue phase to ground; 3ph Trip + LO</t>
  </si>
  <si>
    <t>May</t>
  </si>
  <si>
    <t>B/HURST</t>
  </si>
  <si>
    <t>B/HURST 132/11kV Transformer 2 LV CB 4H0</t>
  </si>
  <si>
    <t>Intertrip Receive/Send; Tripped</t>
  </si>
  <si>
    <t>MOGS 132/11kV Transformer 3 HV CB 410</t>
  </si>
  <si>
    <t>Intertrip Receive; Tripped</t>
  </si>
  <si>
    <t>MOGS 132/11kV Transformer 3 LV CB 3H0</t>
  </si>
  <si>
    <t>Tripped</t>
  </si>
  <si>
    <t>MOGS 132/11kV Transformer 4 HV CB 510</t>
  </si>
  <si>
    <t>MOGS 132/11kV Transformer 4 LV CB 4H0</t>
  </si>
  <si>
    <t>MOGS - RAKOLA 132kV line CB 305</t>
  </si>
  <si>
    <t>Impedance start Z3, L1-L3; 3ph Trip + LO</t>
  </si>
  <si>
    <t>Did not trip</t>
  </si>
  <si>
    <t>127/23</t>
  </si>
  <si>
    <t>Segoditshane - Dwarsberg 132kV line CB 905</t>
  </si>
  <si>
    <t>3ph T + L/O</t>
  </si>
  <si>
    <t>128/23</t>
  </si>
  <si>
    <t>Phokoje - Matimba 400kV line CB 3L5</t>
  </si>
  <si>
    <t>IPS</t>
  </si>
  <si>
    <t>Scada/Sekgatlhola</t>
  </si>
  <si>
    <t>Directional E/F, Z1, Red phase trip, DTT; 3 ph T + L/O</t>
  </si>
  <si>
    <t>Matimba</t>
  </si>
  <si>
    <t>Matimba - Phokoje 400kV line</t>
  </si>
  <si>
    <t>S ph T + ARC + 3ph T + L/O &amp; White ph to ground</t>
  </si>
  <si>
    <t>Mowana</t>
  </si>
  <si>
    <t>Mowana - Dukwe 132kV line CB 105</t>
  </si>
  <si>
    <t>Overvoltage; 3 ph T + L/O</t>
  </si>
  <si>
    <t>Mowana 132/11kV Transformer 1</t>
  </si>
  <si>
    <t>Overvoltage; Tripped</t>
  </si>
  <si>
    <t>SEGS - DWARSBERG 132kV line CB 905</t>
  </si>
  <si>
    <t>Ntoko</t>
  </si>
  <si>
    <t>OC &amp; EF trip &amp; Zone 2 trip; 3 ph T + L/O</t>
  </si>
  <si>
    <t>Orapa 2 220/33kV Transformer 1 HV CB H10</t>
  </si>
  <si>
    <t>15/05/2023</t>
  </si>
  <si>
    <t>133/23</t>
  </si>
  <si>
    <t>Hydromet - Phoenix 1 66kV line CB 505</t>
  </si>
  <si>
    <t>BCU Relay - White &amp; Blue phase to ground; 3 ph T + L/O</t>
  </si>
  <si>
    <t>Morupule A - Generator 3</t>
  </si>
  <si>
    <t>20/05/2023</t>
  </si>
  <si>
    <t>137/23</t>
  </si>
  <si>
    <t>Electronic Protection Gen trip; No interruption of supply</t>
  </si>
  <si>
    <t>23/05/2023</t>
  </si>
  <si>
    <t>139/23</t>
  </si>
  <si>
    <t>MN A RED PH, DTTR, PERM I/T SEND, MN B MTR, MN A MTR; DTTS; 3phT+L/O</t>
  </si>
  <si>
    <t>31/05/2023</t>
  </si>
  <si>
    <t>140/23</t>
  </si>
  <si>
    <t>Gov/Enclave</t>
  </si>
  <si>
    <t>Gov/Enclave 132/11kV TRF 2 HV CB 280</t>
  </si>
  <si>
    <t>SCADA/Ntoko</t>
  </si>
  <si>
    <t>Master Trip Operated; Tap Change Buchholz Operated</t>
  </si>
  <si>
    <t>Gov/Enclave 132/11kV TRF 2 LV CB 2HO</t>
  </si>
  <si>
    <t>Under Frequency; Protection Trip</t>
  </si>
  <si>
    <t>141/23</t>
  </si>
  <si>
    <t>Maun</t>
  </si>
  <si>
    <t>Maun 132/11kV Transformer 1 HV CB 110</t>
  </si>
  <si>
    <t>SCADA/MOSALA</t>
  </si>
  <si>
    <t>Did not trip initially; High set O/C on Matshwane feeder; later tripped</t>
  </si>
  <si>
    <t>June</t>
  </si>
  <si>
    <t>O/C trip</t>
  </si>
  <si>
    <t>Maun 132/11kV Transformer 2 LV CB 2TO</t>
  </si>
  <si>
    <t>Gov/Enclave 132/33kV Transformer 2 HV CB 210</t>
  </si>
  <si>
    <t>High set O/C on CSS feeder; tripped</t>
  </si>
  <si>
    <t>144/23</t>
  </si>
  <si>
    <t>Lotsane</t>
  </si>
  <si>
    <t>Lotsane 66kV Bus Section CB Q20</t>
  </si>
  <si>
    <t>SCADA/Gape Nthobatsang</t>
  </si>
  <si>
    <t>O/C and E/F, zone 2 trip</t>
  </si>
  <si>
    <t>Morupule A 66kV line 2 CB 210</t>
  </si>
  <si>
    <t>145/23</t>
  </si>
  <si>
    <t>Morupule A - Serule 220kV line CB L55</t>
  </si>
  <si>
    <t>Central/North</t>
  </si>
  <si>
    <t>Scada / Moalosi</t>
  </si>
  <si>
    <t>Dist Protn Relay: DTT, 2L2 trip, Blue Phase to neutral, Zone 1 trip</t>
  </si>
  <si>
    <t>Serule - Morupule A 220kV line CB L65</t>
  </si>
  <si>
    <t>Scada / Sekgatlhola</t>
  </si>
  <si>
    <t>Dist Protn Relay: DTT &amp; MT</t>
  </si>
  <si>
    <t>Phokoje - Serule 220kV line CB L35</t>
  </si>
  <si>
    <t>MN B-Dist Protn Relay: PSL2, PSN, MT, DTTS &amp; CAR 3&amp;4</t>
  </si>
  <si>
    <t>Orapa 2 - Serule 220kV line CB L15</t>
  </si>
  <si>
    <t>Blue phase to Ground &amp; O/C instantaneous trip</t>
  </si>
  <si>
    <t>15/06/2023</t>
  </si>
  <si>
    <t>147/23</t>
  </si>
  <si>
    <t>Makoba 132/33kV T2 HV &amp; LV CBs 210 &amp; T20</t>
  </si>
  <si>
    <t>SCADA/Chabalala</t>
  </si>
  <si>
    <t>LV Bus zone 2 trip &amp; Mastertrip operated</t>
  </si>
  <si>
    <t>33kV Bus Bar B/S CB S10</t>
  </si>
  <si>
    <t>Zone 2 trip, Check Zine trip &amp; Zone 2 trip L1</t>
  </si>
  <si>
    <t>16/06/2023</t>
  </si>
  <si>
    <t>148/23</t>
  </si>
  <si>
    <t>SEGS - Spitskop 132kV line CB 905</t>
  </si>
  <si>
    <t>19/06/2023</t>
  </si>
  <si>
    <t>149/23</t>
  </si>
  <si>
    <t>Isang - Segoditshane 220kV line CB L25</t>
  </si>
  <si>
    <t>Stormy</t>
  </si>
  <si>
    <t>SCADA/NTOKO</t>
  </si>
  <si>
    <t>DTT Send/Receive, Permissive Trip; 3-ph T + L/O; Fault: L3-Earth</t>
  </si>
  <si>
    <t>20/06/2023</t>
  </si>
  <si>
    <t>151/23</t>
  </si>
  <si>
    <t>29/06/2023</t>
  </si>
  <si>
    <t>154/23</t>
  </si>
  <si>
    <t>Motheo</t>
  </si>
  <si>
    <t>Motheo - Motheo Mine 132 Line: CB 305</t>
  </si>
  <si>
    <t>Scada/CSS</t>
  </si>
  <si>
    <t>CB trip, Master trip, TCL 1/2, TCS; Back up Protection: TRL 1/2/3, Over Current trip; 3ph trip + L/O</t>
  </si>
  <si>
    <t>Motheo Mine - Motheo 132 Line: CB 105</t>
  </si>
  <si>
    <t>3ph trip + ARC</t>
  </si>
  <si>
    <t>Motheo Mine 11kV B/Section CB 1SO</t>
  </si>
  <si>
    <t>No indication; Tripped</t>
  </si>
  <si>
    <t>03/07/2023</t>
  </si>
  <si>
    <t>13:26</t>
  </si>
  <si>
    <t>155/23</t>
  </si>
  <si>
    <t>Tsabong</t>
  </si>
  <si>
    <t>Tsabong - Heuning Vlei 132kV line CB 105</t>
  </si>
  <si>
    <t>20:12</t>
  </si>
  <si>
    <t>Mosarwe</t>
  </si>
  <si>
    <t>Blue phase Trip; 3 ph T + L/O</t>
  </si>
  <si>
    <t>July</t>
  </si>
  <si>
    <t>Heuning Vlei</t>
  </si>
  <si>
    <t>Heuning Vlei 132kV line</t>
  </si>
  <si>
    <t>19:02</t>
  </si>
  <si>
    <t>Eskom</t>
  </si>
  <si>
    <t>E/F trip; 3 ph T + L/O</t>
  </si>
  <si>
    <t>11/07/2023</t>
  </si>
  <si>
    <t>08:02</t>
  </si>
  <si>
    <t>156/23</t>
  </si>
  <si>
    <t>Karowe - Letlhakane 132kV line CB 105</t>
  </si>
  <si>
    <t>12:29</t>
  </si>
  <si>
    <t>B. Chabalala</t>
  </si>
  <si>
    <t>TCS alarm, MCB BI trip, SYNC BLK AR; 3 ph T + L/O</t>
  </si>
  <si>
    <t>SCADA / Moalosi</t>
  </si>
  <si>
    <t>TBA</t>
  </si>
  <si>
    <t>29/07/2023</t>
  </si>
  <si>
    <t>18:00</t>
  </si>
  <si>
    <t>Gabsouth</t>
  </si>
  <si>
    <t>Gabsouth - Dwaarsberg 132kV Line CB 105</t>
  </si>
  <si>
    <t>18:19</t>
  </si>
  <si>
    <t>Zone 1 Trip; Fault loop L1 to Neutral; 3ph T + LO</t>
  </si>
  <si>
    <t>08/08/2023</t>
  </si>
  <si>
    <t>August</t>
  </si>
  <si>
    <t>03:35</t>
  </si>
  <si>
    <t>150/23</t>
  </si>
  <si>
    <t>Morupule A Generator 3 11kV CB 3G0</t>
  </si>
  <si>
    <t>Thermal Stress; Tripped</t>
  </si>
  <si>
    <t>20/08/2023</t>
  </si>
  <si>
    <t>20:58</t>
  </si>
  <si>
    <t>Phoenix</t>
  </si>
  <si>
    <t>Phoenix - Hydromet 66kV line 2 CB 205</t>
  </si>
  <si>
    <t>21:10</t>
  </si>
  <si>
    <t>September</t>
  </si>
  <si>
    <t>Molepolole</t>
  </si>
  <si>
    <t>11/09/2023</t>
  </si>
  <si>
    <t>21:22</t>
  </si>
  <si>
    <t>153/23</t>
  </si>
  <si>
    <t>Serule 220kV Line CB L15</t>
  </si>
  <si>
    <t>21:24</t>
  </si>
  <si>
    <t>Zone 1 Trip, Ph C To Ground; 3 ph T + L/O</t>
  </si>
  <si>
    <t>Orapa 2</t>
  </si>
  <si>
    <t>Orapa 2 220kV Line CB L15</t>
  </si>
  <si>
    <t>12/09/2023</t>
  </si>
  <si>
    <t>04:08</t>
  </si>
  <si>
    <t>04:26</t>
  </si>
  <si>
    <t>3 ph T + L/O</t>
  </si>
  <si>
    <t>10:16</t>
  </si>
  <si>
    <t>Serule - Orapa 2 220kV Line CB L15</t>
  </si>
  <si>
    <t>14:47</t>
  </si>
  <si>
    <t>Zone 1 trip, Phase A to ground. Distance to fault: 91km</t>
  </si>
  <si>
    <t>Orapa - Serule 220kV Line CB L15</t>
  </si>
  <si>
    <t>14:45</t>
  </si>
  <si>
    <t>Main 1: Red phase to ground, distance to fault: 139.14km. Main 2: Trip, instantaneous, Phase A to Ground, Zone 1</t>
  </si>
  <si>
    <t>16/09/2023</t>
  </si>
  <si>
    <t>16:00</t>
  </si>
  <si>
    <t>16:11</t>
  </si>
  <si>
    <t>Instantaneous Trip, Red phase to ground, Zone 1. Distance to fault: 110.2km</t>
  </si>
  <si>
    <t>Main 1: Trip. Main 2: Trip, instantaneous, Zone 1, Phase A to Ground, Distance to fault: 115.92km</t>
  </si>
  <si>
    <t>17/09/2023</t>
  </si>
  <si>
    <t>13:32</t>
  </si>
  <si>
    <t>157/23</t>
  </si>
  <si>
    <t>13:51</t>
  </si>
  <si>
    <t>Distance Protection Relay: Instantaneous Trip, Blue phase to ground, Zone 1, CB Pole discrepancy trip. Distance to fault: 92.32km</t>
  </si>
  <si>
    <t>Main 1: Trip. Main 2: Trip, instantaneous trip, Zone 2, zone 4, Phase C to Ground, SOTF, Distance to fault: 126km</t>
  </si>
  <si>
    <t>16:09</t>
  </si>
  <si>
    <t>21/09/2023</t>
  </si>
  <si>
    <t>10:23</t>
  </si>
  <si>
    <t>159/23</t>
  </si>
  <si>
    <t>Morupule B</t>
  </si>
  <si>
    <t>Morupule B - Letlhakane 400kV line CB 2L5</t>
  </si>
  <si>
    <t>Central/North West</t>
  </si>
  <si>
    <t>11:03</t>
  </si>
  <si>
    <t>SCADA/Moloinoga</t>
  </si>
  <si>
    <t>Distance Protection Relay: Gen trip, ZM trip, CAR, Blue phase to Ground; 3ph trip + L/O</t>
  </si>
  <si>
    <t>Letlhakane - Morupule B 400kV line CB 3L5</t>
  </si>
  <si>
    <t>11:10</t>
  </si>
  <si>
    <t>Main 1: Trip ZM trip, phase to Ground, lockout. Main 2: ZM trip, ARC lockout; 3ph trip + L/O</t>
  </si>
  <si>
    <t>21:47</t>
  </si>
  <si>
    <t>160/23</t>
  </si>
  <si>
    <t>Morupule A Unit 4 220kV CB G40</t>
  </si>
  <si>
    <t>SCADA/Mothobi</t>
  </si>
  <si>
    <t>Flame failure; Tripped</t>
  </si>
  <si>
    <t>22/09/2023</t>
  </si>
  <si>
    <t>19:49</t>
  </si>
  <si>
    <t>161/23</t>
  </si>
  <si>
    <t>Phoenix 220/66kV TRF 1 HV CB H10</t>
  </si>
  <si>
    <t>Tertiary E/F trip, Master trip</t>
  </si>
  <si>
    <t>Phoenix 220/66kV TRF 1 LV CB 180</t>
  </si>
  <si>
    <t>23/09/2023</t>
  </si>
  <si>
    <t>21:26</t>
  </si>
  <si>
    <t>162/23</t>
  </si>
  <si>
    <t>Kgale View</t>
  </si>
  <si>
    <t>Kgale View T1 &amp; T2 11kV LV CB 1H0</t>
  </si>
  <si>
    <t>Scada / Galetshetse</t>
  </si>
  <si>
    <t>Arc protection; TRIP</t>
  </si>
  <si>
    <t>Kgale View T1 &amp; T2 11kV LV CB 2H0</t>
  </si>
  <si>
    <t>SCADA/Galetshetse</t>
  </si>
  <si>
    <t>Kgale View B/section CB 1SO</t>
  </si>
  <si>
    <t>24/09/2023</t>
  </si>
  <si>
    <t>06:08</t>
  </si>
  <si>
    <t>163/23</t>
  </si>
  <si>
    <t>Karowe T1 LV CB 1T0</t>
  </si>
  <si>
    <t>SCADA/Phillip</t>
  </si>
  <si>
    <t>TRIP (No load loss as B/Section CB 1SO was closed)</t>
  </si>
  <si>
    <t>28/09/2023</t>
  </si>
  <si>
    <t>18:55</t>
  </si>
  <si>
    <t>164/23</t>
  </si>
  <si>
    <t>Phakalane T1B LV CB 1HOB</t>
  </si>
  <si>
    <t>19:00</t>
  </si>
  <si>
    <t>SCADA/Selei</t>
  </si>
  <si>
    <t>Buchholz Alarm; TRIP</t>
  </si>
  <si>
    <t>20:02</t>
  </si>
  <si>
    <t>166/23</t>
  </si>
  <si>
    <t xml:space="preserve"> 07:15</t>
  </si>
  <si>
    <t xml:space="preserve"> 00:24</t>
  </si>
  <si>
    <t xml:space="preserve"> 23:03</t>
  </si>
  <si>
    <t>01/10/2023</t>
  </si>
  <si>
    <t>19:10</t>
  </si>
  <si>
    <t>Dukwi</t>
  </si>
  <si>
    <t>Dukwi - Sua 132kV line CB 305</t>
  </si>
  <si>
    <t>Distance Protection Relay: 3PHASE TRIP, ZONE 1 TRIP, DIST TO FAULT: 36.9 KM</t>
  </si>
  <si>
    <t>October</t>
  </si>
  <si>
    <t>05/10/2023</t>
  </si>
  <si>
    <t>04:13</t>
  </si>
  <si>
    <t>12:37</t>
  </si>
  <si>
    <t>168/23</t>
  </si>
  <si>
    <t>O/C Directional E/F Relay: R-PH, W-PH to Ground, Hi Set O/C trip, Master Trip</t>
  </si>
  <si>
    <t>13:15</t>
  </si>
  <si>
    <t>Zone 1,2,3 Trip, Master Trip, Underfreq</t>
  </si>
  <si>
    <t>13:57</t>
  </si>
  <si>
    <t>R-PH, W-PH, B-PH; 3ph Trip + LO</t>
  </si>
  <si>
    <t>10/10/2023</t>
  </si>
  <si>
    <t>23:03</t>
  </si>
  <si>
    <t>171/23</t>
  </si>
  <si>
    <t>Tlokweng - Gab South 132kV line CB 905</t>
  </si>
  <si>
    <t>Lightning &amp; Thunderstorms</t>
  </si>
  <si>
    <t>3ph Trip + LO</t>
  </si>
  <si>
    <t>Gab South</t>
  </si>
  <si>
    <t>13/10/2023</t>
  </si>
  <si>
    <t>10:29</t>
  </si>
  <si>
    <t>172/23</t>
  </si>
  <si>
    <t>Phoenix 220/66kV Tx 1 HV CB H10</t>
  </si>
  <si>
    <t>11:49</t>
  </si>
  <si>
    <t>Oil temperature trip, winding temperature trip, master trip</t>
  </si>
  <si>
    <t>Phoenix 220/66kV Tx 1 LV CB 180</t>
  </si>
  <si>
    <t>14/10/2023</t>
  </si>
  <si>
    <t>175/23</t>
  </si>
  <si>
    <t>Mmakgodumo - Thamaga 132kV line CB 205</t>
  </si>
  <si>
    <t>13:30</t>
  </si>
  <si>
    <t>24/10/2023</t>
  </si>
  <si>
    <t>12:21</t>
  </si>
  <si>
    <t>177/23</t>
  </si>
  <si>
    <t>Lobatse</t>
  </si>
  <si>
    <t>Lobatse - Mmakgodumo 132kV line CB 205</t>
  </si>
  <si>
    <t>13:05</t>
  </si>
  <si>
    <t>Line Current Diff: Red, White and Blue phase Diff trip; 3ph T + L/O</t>
  </si>
  <si>
    <t>Mmakgodumo - Lobatse 132kV line CB 205</t>
  </si>
  <si>
    <t>23:12</t>
  </si>
  <si>
    <t>178/23</t>
  </si>
  <si>
    <t>Trip</t>
  </si>
  <si>
    <t>220kV Bus Coupler CB W10</t>
  </si>
  <si>
    <t>86 BC; TRIP</t>
  </si>
  <si>
    <t>Phokoje - Morupule A 220kV line CB L55</t>
  </si>
  <si>
    <t>White phase-N trip, Zone 2 trip, 21L trip, 3 phase trip, Zone 2 &amp; 3 start, 21L ext start, R &amp; W start, L/O start, Dist: 95.3km</t>
  </si>
  <si>
    <t>28/10/2023</t>
  </si>
  <si>
    <t>19:54</t>
  </si>
  <si>
    <t>179/23</t>
  </si>
  <si>
    <t>Morupule B 400/220kV intertie TX HV CB 1TO</t>
  </si>
  <si>
    <t>21:43</t>
  </si>
  <si>
    <t>Scada/Moloinoga</t>
  </si>
  <si>
    <t>No indications; Tripped</t>
  </si>
  <si>
    <t>Isang - Morupule A 2 220kV line CB L45</t>
  </si>
  <si>
    <t>19:55</t>
  </si>
  <si>
    <t>Instantenious E/F, Master trip; 3pH trip + LO</t>
  </si>
  <si>
    <t>19:59</t>
  </si>
  <si>
    <t>Morupule A - Isang 2 220kV line CB L25</t>
  </si>
  <si>
    <t>Distance Protn Zone 1 Red and White phases; 3 pH T+ L/O</t>
  </si>
  <si>
    <t>30/10/2023</t>
  </si>
  <si>
    <t>13:01</t>
  </si>
  <si>
    <t>180/23</t>
  </si>
  <si>
    <t>Isang 2</t>
  </si>
  <si>
    <t>Isang 2 - Morp A 2 220kV Line CB L45</t>
  </si>
  <si>
    <t>South / North</t>
  </si>
  <si>
    <t>13:03</t>
  </si>
  <si>
    <t>SCADA / Makoko</t>
  </si>
  <si>
    <t>Main 1 Relay: VT Fuse fail, Carrier aided trip, CB trip L1,L2,L3 3 phase trip, Trip signal IL2, Distance to 13.6KM, Fault REL distance 6.12%; Fault loop L2N</t>
  </si>
  <si>
    <t>16:30</t>
  </si>
  <si>
    <t>181/23</t>
  </si>
  <si>
    <t>Legotlhwane - Makoba 132kV Line CB 305</t>
  </si>
  <si>
    <t>20:34</t>
  </si>
  <si>
    <t>SCADA / Rasefako</t>
  </si>
  <si>
    <t>Main Protection Relay: Protection trip, Imp trip z1, L2 Start, Permissive trip Receive/Send, ARC Initiate</t>
  </si>
  <si>
    <t>132kV Line Reactor CB 350</t>
  </si>
  <si>
    <t>Main Protection Relay: Low start E/F trip; B/UP Relay: Low start E/F Start, Master trip</t>
  </si>
  <si>
    <t>31/10/2023</t>
  </si>
  <si>
    <t>182/23</t>
  </si>
  <si>
    <t>Lobatse - Mmakgodumo 132kV Line CB 205</t>
  </si>
  <si>
    <t>SCADA / Mangole</t>
  </si>
  <si>
    <t>Mmakgodumo - Lobatse 132kV Line CB 205</t>
  </si>
  <si>
    <t>08:11</t>
  </si>
  <si>
    <t>Current Differential Relay: Trip, Phase C to ground, 87; 3ph Trip + L/O</t>
  </si>
  <si>
    <t>17:49</t>
  </si>
  <si>
    <t>183/23</t>
  </si>
  <si>
    <t>Makoba - Samochima 132kV line CB 105</t>
  </si>
  <si>
    <t>17:50</t>
  </si>
  <si>
    <t>Impedance Protn Zone 1, General trip; 3ph Trip + L/O</t>
  </si>
  <si>
    <t>Samochima - Makoba 132kV line CB 305</t>
  </si>
  <si>
    <t>DID NOT TRIP</t>
  </si>
  <si>
    <t>01/11/2023</t>
  </si>
  <si>
    <t>16:55</t>
  </si>
  <si>
    <t>184/23</t>
  </si>
  <si>
    <t>Orapa 1</t>
  </si>
  <si>
    <t>November</t>
  </si>
  <si>
    <t>Orapa 2 220kV line CB L15</t>
  </si>
  <si>
    <t>17:18</t>
  </si>
  <si>
    <t>Distance protn Zone 1; 3ph T + L/O</t>
  </si>
  <si>
    <t>05/11/2023</t>
  </si>
  <si>
    <t>16:07</t>
  </si>
  <si>
    <t>186/23</t>
  </si>
  <si>
    <t>Makoba - Samochima 132kV Line CB 105</t>
  </si>
  <si>
    <t>20:47</t>
  </si>
  <si>
    <t>Protection Trip, Low set E/F trip, Pole discrepancy; 3ph Trip + L/O</t>
  </si>
  <si>
    <t>Samochima - Makoba 132kV Line CB 305</t>
  </si>
  <si>
    <t>22:44</t>
  </si>
  <si>
    <t>Back up trip protections, Low set E/F trip, Main 1: Permissive send; 3ph Trip + L/O</t>
  </si>
  <si>
    <t>3ph trip + L/O</t>
  </si>
  <si>
    <t>13/11/2023</t>
  </si>
  <si>
    <t>06:00</t>
  </si>
  <si>
    <t>190/23</t>
  </si>
  <si>
    <t>Woodhall T1A &amp; T2A LV CBs 1H0 and 2H0</t>
  </si>
  <si>
    <t>06:40</t>
  </si>
  <si>
    <t>HV OC low set; Tripped</t>
  </si>
  <si>
    <t>15/11/2023</t>
  </si>
  <si>
    <t>07:14</t>
  </si>
  <si>
    <t>199/23</t>
  </si>
  <si>
    <t>Hydromet - Phoenix 66kV line CB 505</t>
  </si>
  <si>
    <t>07:18</t>
  </si>
  <si>
    <t>BACK UP OVERCURRENT TRIP; 3 Ph T+L/O</t>
  </si>
  <si>
    <t>17/11/2023</t>
  </si>
  <si>
    <t>06:04</t>
  </si>
  <si>
    <t>191/23</t>
  </si>
  <si>
    <t>Gab East</t>
  </si>
  <si>
    <t>Gab East 132/11kV T2B HV CB 210B</t>
  </si>
  <si>
    <t>07:57</t>
  </si>
  <si>
    <t>Trip, Instantaneous VT fail, Under frequency</t>
  </si>
  <si>
    <t>Gab East 132/11kV T2B LV CB 2HOB</t>
  </si>
  <si>
    <t>07:58</t>
  </si>
  <si>
    <t>11kV Bussection CB 1SOB</t>
  </si>
  <si>
    <t>08:15</t>
  </si>
  <si>
    <t>Master trip, Buszone trip, Trip Circuit Supervision 1</t>
  </si>
  <si>
    <t>18/11/2023</t>
  </si>
  <si>
    <t>00:41</t>
  </si>
  <si>
    <t>192/23</t>
  </si>
  <si>
    <t>Gab East 132/11kV T1B HV CB 110B</t>
  </si>
  <si>
    <t>02:56</t>
  </si>
  <si>
    <t>Phase A &amp; B trip</t>
  </si>
  <si>
    <t>Gab East 132/11kV T1B LV CB 1HOB</t>
  </si>
  <si>
    <t>02:57</t>
  </si>
  <si>
    <t>Buszone operated, VT Fail</t>
  </si>
  <si>
    <t>02:58</t>
  </si>
  <si>
    <t>Gab East 132/11kV T3B LV CB 3HOB</t>
  </si>
  <si>
    <t>Gab East 11kV CB 1SOB</t>
  </si>
  <si>
    <t>Phase A &amp; B trip, Buszone Phase B and C</t>
  </si>
  <si>
    <t>16:21</t>
  </si>
  <si>
    <t>194/23</t>
  </si>
  <si>
    <t>Gabs South</t>
  </si>
  <si>
    <t>Gabs South - Ramotswa 132kV line CB 205</t>
  </si>
  <si>
    <t>17:27</t>
  </si>
  <si>
    <t>SCADA / Galetshetse</t>
  </si>
  <si>
    <t>Differential; 3ph T + L/O</t>
  </si>
  <si>
    <t>Ramotswa - Gabs South 132kV line CB 205</t>
  </si>
  <si>
    <t>18:14</t>
  </si>
  <si>
    <t>21/11/2023</t>
  </si>
  <si>
    <t>198/23</t>
  </si>
  <si>
    <t>Cloudy / Rainy</t>
  </si>
  <si>
    <t>21:12</t>
  </si>
  <si>
    <t>General trip, EF protn trip; 3 Ph T+L/O</t>
  </si>
  <si>
    <t>24/11/2023</t>
  </si>
  <si>
    <t>26/11/2023</t>
  </si>
  <si>
    <t>27/11/2023</t>
  </si>
  <si>
    <t>23:45</t>
  </si>
  <si>
    <t>200/23</t>
  </si>
  <si>
    <t>Rakola- Gaphatshwa 132kV line CB 505</t>
  </si>
  <si>
    <t>Cloudy / Rainy / Thunderstorms</t>
  </si>
  <si>
    <t>23:46</t>
  </si>
  <si>
    <t>INSTATNTENEOUS O/C TRIP; 3 Ph T+L/O</t>
  </si>
  <si>
    <t>28/11/2023</t>
  </si>
  <si>
    <t>17:55</t>
  </si>
  <si>
    <t>Gabsouth - Spitskop 132kV Line CB 505</t>
  </si>
  <si>
    <t>18:34</t>
  </si>
  <si>
    <t>B/UP: trip, protection trip; 1ph trip+L/O</t>
  </si>
  <si>
    <t>SCADA / Eskom</t>
  </si>
  <si>
    <t>202/23</t>
  </si>
  <si>
    <t>Gabsouth - Ramotswa 132kV Line CB 205</t>
  </si>
  <si>
    <t>Ramotswa - Gabsouth 132kV Line CB 205</t>
  </si>
  <si>
    <t>07/12/2023</t>
  </si>
  <si>
    <t>23:13</t>
  </si>
  <si>
    <t>Trip, 87L, Three phase trip, BF, AR. On O/C Relay; HS O/C. Fault loop being L1 and L2; 3ph trip + L/O</t>
  </si>
  <si>
    <t>December</t>
  </si>
  <si>
    <t>22:32</t>
  </si>
  <si>
    <t>Three phase trip 87L and Master trip operated. Fault loop being L1 and L2; 3ph trip + L/O</t>
  </si>
  <si>
    <t>10/12/2023</t>
  </si>
  <si>
    <t>19:57</t>
  </si>
  <si>
    <t>203/23</t>
  </si>
  <si>
    <t>20:10</t>
  </si>
  <si>
    <t>3 Ph T+L/O</t>
  </si>
  <si>
    <t>11/12/2023</t>
  </si>
  <si>
    <t>00:50</t>
  </si>
  <si>
    <t>205/23</t>
  </si>
  <si>
    <t>Hydromet - 220kV Bus Coupler CB W10</t>
  </si>
  <si>
    <t>02:34</t>
  </si>
  <si>
    <t>Pole discrepancy; tripped on closure attempt</t>
  </si>
  <si>
    <t>12/12/2023</t>
  </si>
  <si>
    <t>17:51</t>
  </si>
  <si>
    <t>206/23</t>
  </si>
  <si>
    <t>Morp.A Unit 2 12kV CB 2GO</t>
  </si>
  <si>
    <t>Flame failure; TRIPPED</t>
  </si>
  <si>
    <t>15/12/2023</t>
  </si>
  <si>
    <t>17:06</t>
  </si>
  <si>
    <t>Hydromet 66/33kV TRF 01 HV CB H10</t>
  </si>
  <si>
    <t>18:54</t>
  </si>
  <si>
    <t>Scada/Kahona/Chabalala</t>
  </si>
  <si>
    <t>Tertiary E/Fault, Master Trip; TRIPPED</t>
  </si>
  <si>
    <t>Hydromet 66/33kV TRF 01 LV CB 180</t>
  </si>
  <si>
    <t>33kV Bus Coupler CB 130</t>
  </si>
  <si>
    <t>18:04</t>
  </si>
  <si>
    <t>Closed to restore supply via TX 03</t>
  </si>
  <si>
    <t>Mawana - Maun 132kV line CB 305</t>
  </si>
  <si>
    <t>Maun - Mawana 132kV line CB 105</t>
  </si>
  <si>
    <t>18/12/2023</t>
  </si>
  <si>
    <t>216/23</t>
  </si>
  <si>
    <t>66 kV Bus Section CB Q20</t>
  </si>
  <si>
    <t>3 phT+ ARC</t>
  </si>
  <si>
    <t>23/12/2023</t>
  </si>
  <si>
    <t>14:38</t>
  </si>
  <si>
    <t>211/23</t>
  </si>
  <si>
    <t>Morp.A Unit 1 12kV CB 1GO</t>
  </si>
  <si>
    <t>Furnace pressure high; TRIPPED</t>
  </si>
  <si>
    <t>24/12/2023</t>
  </si>
  <si>
    <t>23:37</t>
  </si>
  <si>
    <t>212/23</t>
  </si>
  <si>
    <t>Likokoto</t>
  </si>
  <si>
    <t>Blue phase Imp E/F Zone 1; Sph T+ARC+ 3ph T +L/O</t>
  </si>
  <si>
    <t>Serule - Orapa 2 220kV line CB L15</t>
  </si>
  <si>
    <t>Blue phase Imp E/F Zone 2; 3 ph T+ L/O</t>
  </si>
  <si>
    <t>25/12/2023</t>
  </si>
  <si>
    <t>09:50</t>
  </si>
  <si>
    <t>Orapa 1 220/33 kV Tx 3: HV CB H30</t>
  </si>
  <si>
    <t>13:58</t>
  </si>
  <si>
    <t>SCADA/Likokoto</t>
  </si>
  <si>
    <t>Tap changer overpressure trip; Water ingress found on overpressure termination box</t>
  </si>
  <si>
    <t>26/12/2023</t>
  </si>
  <si>
    <t>27/12/2023</t>
  </si>
  <si>
    <t>00:39</t>
  </si>
  <si>
    <t>213/23</t>
  </si>
  <si>
    <t>Morupule A 12kV CB 3GO</t>
  </si>
  <si>
    <t>05:05</t>
  </si>
  <si>
    <t>Obed</t>
  </si>
  <si>
    <t>Generator temperature high; Tripped</t>
  </si>
  <si>
    <t>214/23</t>
  </si>
  <si>
    <t>13:35</t>
  </si>
  <si>
    <t>Zone 1, General trip, pole discrepancy; 3 phT + L/O</t>
  </si>
  <si>
    <t>13:46</t>
  </si>
  <si>
    <t>215/23</t>
  </si>
  <si>
    <t>13:54</t>
  </si>
  <si>
    <t>30/12/2023</t>
  </si>
  <si>
    <t>217/23</t>
  </si>
  <si>
    <t>22:04</t>
  </si>
  <si>
    <t>3ph T+L/O</t>
  </si>
  <si>
    <t>Voltage Level(KV)</t>
  </si>
  <si>
    <t>04/01/2024</t>
  </si>
  <si>
    <t>02:10</t>
  </si>
  <si>
    <t>005/24</t>
  </si>
  <si>
    <t>Gaphatshwa</t>
  </si>
  <si>
    <t>132/11kV T3 CB 3H0</t>
  </si>
  <si>
    <t>03:51</t>
  </si>
  <si>
    <t>TRIP</t>
  </si>
  <si>
    <t>05:23</t>
  </si>
  <si>
    <t>132/11kV T4 CB 4H0</t>
  </si>
  <si>
    <t>15:13</t>
  </si>
  <si>
    <t>003/24</t>
  </si>
  <si>
    <t>Dukwi - Francistown 132kV line CB 505</t>
  </si>
  <si>
    <t>15:36</t>
  </si>
  <si>
    <t>Back up protection operated, PLC fault, PLC back up; 3 ph T + L/O</t>
  </si>
  <si>
    <t/>
  </si>
  <si>
    <t>Francistown</t>
  </si>
  <si>
    <t>Francistown - Dukwi 132kV line CB 205</t>
  </si>
  <si>
    <t>05/01/2024</t>
  </si>
  <si>
    <t>14:53</t>
  </si>
  <si>
    <t>004/24</t>
  </si>
  <si>
    <t>14:57</t>
  </si>
  <si>
    <t>SCADA/Chawilani</t>
  </si>
  <si>
    <t>06/01/2024</t>
  </si>
  <si>
    <t>22:22</t>
  </si>
  <si>
    <t>23:38</t>
  </si>
  <si>
    <t>Blue phase Impedance E/F, Zone 1; Sph T+ARC+ 3 ph T+L/O</t>
  </si>
  <si>
    <t>07/01/2024</t>
  </si>
  <si>
    <t>11:52</t>
  </si>
  <si>
    <t>008/24</t>
  </si>
  <si>
    <t>F/Town West</t>
  </si>
  <si>
    <t>F/Town West 132/11kV Transformer 1 : LV CB 1HOA</t>
  </si>
  <si>
    <t>12:53</t>
  </si>
  <si>
    <t>master trip, High set O/C, On Bus Section CB - High set O/C; Tripped</t>
  </si>
  <si>
    <t>11kV B/Section : CB 1S0A</t>
  </si>
  <si>
    <t>08/01/2024</t>
  </si>
  <si>
    <t>09:31</t>
  </si>
  <si>
    <t>09:59</t>
  </si>
  <si>
    <t>SCADA/Molefhi</t>
  </si>
  <si>
    <t>3 ph trip, zone 1, carrier receive, zone 1 trip, PLC send main trip; 3 ph T + L/O</t>
  </si>
  <si>
    <t>09/01/2024</t>
  </si>
  <si>
    <t>09:13</t>
  </si>
  <si>
    <t>011/24</t>
  </si>
  <si>
    <t>No indications; 3 ph T + L/O</t>
  </si>
  <si>
    <t>11/01/2024</t>
  </si>
  <si>
    <t>15:51</t>
  </si>
  <si>
    <t>—</t>
  </si>
  <si>
    <t>Legotlhwane - Makoba 132kV line CB 305</t>
  </si>
  <si>
    <t>17:34</t>
  </si>
  <si>
    <t>Rasefako</t>
  </si>
  <si>
    <t>Earth Fault and ARC Block; 3ph T+L/O</t>
  </si>
  <si>
    <t>15/01/2024</t>
  </si>
  <si>
    <t>22:15</t>
  </si>
  <si>
    <t>019/24</t>
  </si>
  <si>
    <t>Ghanzi 132/11kV T1 LV CB 1H0</t>
  </si>
  <si>
    <t>Phase B-C O/C protetction; Tripped</t>
  </si>
  <si>
    <t>Ghanzi 132/11kV T2 LV CB 2H0</t>
  </si>
  <si>
    <t>16/01/2024</t>
  </si>
  <si>
    <t>022/24</t>
  </si>
  <si>
    <t>Gab South- Ramotswa 132kV line CB 205</t>
  </si>
  <si>
    <t>18:48</t>
  </si>
  <si>
    <t>GABOITSIWE</t>
  </si>
  <si>
    <t>87L DIFF, HIGH SET O/C PHASE A &amp; C; Tripped + L/O</t>
  </si>
  <si>
    <t>Ramotswa- Gab South 132kV line CB 205</t>
  </si>
  <si>
    <t>10:00</t>
  </si>
  <si>
    <t>023/24</t>
  </si>
  <si>
    <t>Ramotswa 132/11kV T3 HV CB 310</t>
  </si>
  <si>
    <t>10:27</t>
  </si>
  <si>
    <t>Zone 1,2,3 Trip, Master Trip, Underfreq; Tripped</t>
  </si>
  <si>
    <t>Ramotswa 132/11kV T3 LV CB 3H0</t>
  </si>
  <si>
    <t>18/01/2024</t>
  </si>
  <si>
    <t>17:05</t>
  </si>
  <si>
    <t>025/24</t>
  </si>
  <si>
    <t>MAIN PROT RELAY: PROTECTION TRIP, ARC BLOCK; 3ph T+L/O</t>
  </si>
  <si>
    <t>26/01/2024</t>
  </si>
  <si>
    <t>08:34</t>
  </si>
  <si>
    <t>028/24</t>
  </si>
  <si>
    <t>Jwaneng 132/33 kV Transformer 8: LV CB 8H0</t>
  </si>
  <si>
    <t>09:04</t>
  </si>
  <si>
    <t>SCADA / Baikgantshi</t>
  </si>
  <si>
    <t>33kV bus zone: R-ɸ start, 89 alarm, 87 DIFF start, breaker fail, W-ɸ start, B-ɸ trip, zone 1 trip; Tripped</t>
  </si>
  <si>
    <t>33kV Cap Bank 2 CB 4L5</t>
  </si>
  <si>
    <t>09:17</t>
  </si>
  <si>
    <t>Jwaneng 132/33 kV Transformer 8: HV CB 110</t>
  </si>
  <si>
    <t>12:38</t>
  </si>
  <si>
    <t>029/24</t>
  </si>
  <si>
    <t>Gab EAST 132/11 kV Transformer 2B: HV CB 210B</t>
  </si>
  <si>
    <t>Did not trip initially; Tripped</t>
  </si>
  <si>
    <t>LV CB 2H0B</t>
  </si>
  <si>
    <t>13:16</t>
  </si>
  <si>
    <t>Instateneous trip; Tripped</t>
  </si>
  <si>
    <t>11 kV Bus Section CB 1S0B</t>
  </si>
  <si>
    <t>13:18</t>
  </si>
  <si>
    <t>L/H bus zone 3ɸ trip, Centre zone trip, bus zone A &amp; B trip; Tripped</t>
  </si>
  <si>
    <t>28/01/2024</t>
  </si>
  <si>
    <t>15:08</t>
  </si>
  <si>
    <t>032/24</t>
  </si>
  <si>
    <t>Jwaneng 132/66kV T5 HV CB 810</t>
  </si>
  <si>
    <t>Buch trip and Mastertrip; Tripped</t>
  </si>
  <si>
    <t>30/01/2024</t>
  </si>
  <si>
    <t>00:37</t>
  </si>
  <si>
    <t>036/24</t>
  </si>
  <si>
    <t>Gabs South - Spitskop 132kV line CB 505</t>
  </si>
  <si>
    <t>01:10</t>
  </si>
  <si>
    <t>Relay defective; 3 Ph T+L/O</t>
  </si>
  <si>
    <t>2024-01-03</t>
  </si>
  <si>
    <t>11:43</t>
  </si>
  <si>
    <t>002/24</t>
  </si>
  <si>
    <t>Thamaga – Kgale View</t>
  </si>
  <si>
    <t>Kgale View - Thamaga 132kV line CB 105</t>
  </si>
  <si>
    <t>12:33</t>
  </si>
  <si>
    <t>2 ph T + L/O; Load loss to Karowe Mine (9.94 MW)</t>
  </si>
  <si>
    <t>2024-01-06</t>
  </si>
  <si>
    <t>15:00</t>
  </si>
  <si>
    <t>020/24</t>
  </si>
  <si>
    <t>Tsabong – Heuningsvlei</t>
  </si>
  <si>
    <t>Heuningsvlei 132kV line CB</t>
  </si>
  <si>
    <t>Thunderstorm</t>
  </si>
  <si>
    <t>18:53</t>
  </si>
  <si>
    <t>ESKOM</t>
  </si>
  <si>
    <t>Tripped; Load loss in Tsabong (2 MW)</t>
  </si>
  <si>
    <t>Thamaga – Jwaneng</t>
  </si>
  <si>
    <t>2024-01-11</t>
  </si>
  <si>
    <t>12:01</t>
  </si>
  <si>
    <t>014/24</t>
  </si>
  <si>
    <t>Thamaga - Jwaneng 132kV line 2 CB 205</t>
  </si>
  <si>
    <t>13:27</t>
  </si>
  <si>
    <t>3 ph Trip+L/O</t>
  </si>
  <si>
    <t>220/132 Kv T2 : LV CB 280</t>
  </si>
  <si>
    <t>Jwaneng - Thamaga 132kV line 2 CB 505</t>
  </si>
  <si>
    <t>3 ph Trip + ARC; No load loss</t>
  </si>
  <si>
    <t>2024-01-16</t>
  </si>
  <si>
    <t>19:31</t>
  </si>
  <si>
    <t>Gab South – Ramotswa</t>
  </si>
  <si>
    <t>19:37</t>
  </si>
  <si>
    <t>3 Ph trip + L/O; No load loss</t>
  </si>
  <si>
    <t>2024-01-26</t>
  </si>
  <si>
    <t>22:19</t>
  </si>
  <si>
    <t>030/24</t>
  </si>
  <si>
    <t>Thamaga 220/132kV T1 HV CB H10</t>
  </si>
  <si>
    <t>03:12</t>
  </si>
  <si>
    <t>Tripped; Intertrip latch issue</t>
  </si>
  <si>
    <t>Thamaga 220/132kV T1 LV CB 180</t>
  </si>
  <si>
    <t>Thamaga-Jwaneng 1 132kV line CB305</t>
  </si>
  <si>
    <t>Thamaga 132kV B/C 230</t>
  </si>
  <si>
    <t>Thamaga – Mmakgodumo</t>
  </si>
  <si>
    <t>Thamaga - Mmakgodumo 132kV line CB 205</t>
  </si>
  <si>
    <t>03:13</t>
  </si>
  <si>
    <t>3 PhT+L/O</t>
  </si>
  <si>
    <t>Mmakgodumo - Thamaga 132kV line CB 105</t>
  </si>
  <si>
    <t>Segoditshane – Dwarsberg</t>
  </si>
  <si>
    <t>Segoditshane - Dwarsberg 132kV line CB905</t>
  </si>
  <si>
    <t>2024-01-29</t>
  </si>
  <si>
    <t>19:48</t>
  </si>
  <si>
    <t>035/24</t>
  </si>
  <si>
    <t>20:20</t>
  </si>
  <si>
    <t>Dwarsberg - Segoditshane 132kV line</t>
  </si>
  <si>
    <t>Gab South – Spitskop</t>
  </si>
  <si>
    <t>20:25</t>
  </si>
  <si>
    <t>3 Ph T+L/O; Relay defective</t>
  </si>
  <si>
    <t>2024-02-07</t>
  </si>
  <si>
    <t>17:59</t>
  </si>
  <si>
    <t>041/24</t>
  </si>
  <si>
    <t>Ghanzi Tx 1 LV CB 1H0</t>
  </si>
  <si>
    <t>NW</t>
  </si>
  <si>
    <t>18:44</t>
  </si>
  <si>
    <t>O/C trip; Through fault from feeder 2L5</t>
  </si>
  <si>
    <t>Ghanzi Tx 2 LV CB 2H0</t>
  </si>
  <si>
    <t>20:22</t>
  </si>
  <si>
    <t>Makoko/SCADA</t>
  </si>
  <si>
    <t>2024-02-11</t>
  </si>
  <si>
    <t>07:13</t>
  </si>
  <si>
    <t>045/24</t>
  </si>
  <si>
    <t>Rakola – Segoditshane</t>
  </si>
  <si>
    <t>Rakola - Segoditshane 220kV line CB L35</t>
  </si>
  <si>
    <t>SCADA/Makoko</t>
  </si>
  <si>
    <t>10:03</t>
  </si>
  <si>
    <t>046/24</t>
  </si>
  <si>
    <t>GAB EAST</t>
  </si>
  <si>
    <t>Tx 2B HV CB 210B</t>
  </si>
  <si>
    <t>10:42</t>
  </si>
  <si>
    <t>11:00</t>
  </si>
  <si>
    <t>Tx 2B LV CB 2H0B</t>
  </si>
  <si>
    <t>11:29</t>
  </si>
  <si>
    <t>Tripped again during restoration</t>
  </si>
  <si>
    <t>11kV Bus Section CB 2S0B</t>
  </si>
  <si>
    <t>Phase A–C trip, bus zone trip</t>
  </si>
  <si>
    <t>2024-02-13</t>
  </si>
  <si>
    <t>16:43</t>
  </si>
  <si>
    <t>Thamaga - Jwaneng 1 CB 505</t>
  </si>
  <si>
    <t>19:22</t>
  </si>
  <si>
    <t>3ph T + ARC</t>
  </si>
  <si>
    <t>220/132kV T2 HV CB H20</t>
  </si>
  <si>
    <t>19:21</t>
  </si>
  <si>
    <t>220/132kV T2 LV CB 280</t>
  </si>
  <si>
    <t>Thamaga - Kgale View CB 405</t>
  </si>
  <si>
    <t>19:20</t>
  </si>
  <si>
    <t>16:54</t>
  </si>
  <si>
    <t>047/24</t>
  </si>
  <si>
    <t>Gab South–Ramotswa 132kV line CB 205</t>
  </si>
  <si>
    <t>17:26</t>
  </si>
  <si>
    <t>SCADA/Karabo</t>
  </si>
  <si>
    <t>3ph T + L/O; Differential protection</t>
  </si>
  <si>
    <t>2024-02-17</t>
  </si>
  <si>
    <t>21:02</t>
  </si>
  <si>
    <t>049/24</t>
  </si>
  <si>
    <t>Gaphatshwa T4 11kV CB 4HO</t>
  </si>
  <si>
    <t>22:21</t>
  </si>
  <si>
    <t>E. NTOKO/SCADA</t>
  </si>
  <si>
    <t>Overvoltage trip; Feeder 10L5 conductor down</t>
  </si>
  <si>
    <t>2024-02-26</t>
  </si>
  <si>
    <t>07:07</t>
  </si>
  <si>
    <t>037/24</t>
  </si>
  <si>
    <t>Mmakgodumo T1 LV CB H10</t>
  </si>
  <si>
    <t>09:52</t>
  </si>
  <si>
    <t>OC &amp; E/F Phase B&amp;C; Load loss (4 MW)</t>
  </si>
  <si>
    <t>Mmakgodumo T2 LV CB H20</t>
  </si>
  <si>
    <t>11:37</t>
  </si>
  <si>
    <t>19:36</t>
  </si>
  <si>
    <t>053/24</t>
  </si>
  <si>
    <t>MORP A – Serule</t>
  </si>
  <si>
    <t>MORP A - Serule 220kV line CB L65</t>
  </si>
  <si>
    <t>SCADA/N. Lekokoto</t>
  </si>
  <si>
    <t>Serule - MORP A 220kV line CB L55</t>
  </si>
  <si>
    <t>23:18</t>
  </si>
  <si>
    <t>SCADA/T. Moloinaga</t>
  </si>
  <si>
    <t>3ph T + L/O; No load loss</t>
  </si>
  <si>
    <t>2024-03-02</t>
  </si>
  <si>
    <t>02:28</t>
  </si>
  <si>
    <t>055/24</t>
  </si>
  <si>
    <t>Mmakgodumo – Kanye</t>
  </si>
  <si>
    <t>Mmakgodumo - Kanye 132kV CB 305</t>
  </si>
  <si>
    <t>3ph T + ARC; No load loss</t>
  </si>
  <si>
    <t>2024-03-07</t>
  </si>
  <si>
    <t>19:33</t>
  </si>
  <si>
    <t>056/24</t>
  </si>
  <si>
    <t>Cloudy and Windy</t>
  </si>
  <si>
    <t>20:24</t>
  </si>
  <si>
    <t>SCADA/Rapelang</t>
  </si>
  <si>
    <t>3ph T + L/O; High set O/C; No load loss</t>
  </si>
  <si>
    <t>2024-03-16</t>
  </si>
  <si>
    <t>21:08</t>
  </si>
  <si>
    <t>058.0/24</t>
  </si>
  <si>
    <t>MORP B – Isang</t>
  </si>
  <si>
    <t>MORP B - Isang 400kV line CB 1L5</t>
  </si>
  <si>
    <t>Isang – Segoditshane</t>
  </si>
  <si>
    <t>Isang - Segs 220kV line CB L25</t>
  </si>
  <si>
    <t>23:08</t>
  </si>
  <si>
    <t>Isang – Thamaga</t>
  </si>
  <si>
    <t>Isang - Thamaga 220kV line CB L55</t>
  </si>
  <si>
    <t>Thamaga - Isang 220kV line CB L15</t>
  </si>
  <si>
    <t>Earth fault trip; 3ph T + L/O</t>
  </si>
  <si>
    <t>Isang – Isang Ext</t>
  </si>
  <si>
    <t>Isang - Isang Ext 220kV line CBs H10 &amp; H20</t>
  </si>
  <si>
    <t>23:21</t>
  </si>
  <si>
    <t>Rakola – Isang</t>
  </si>
  <si>
    <t>Rakola - Isang 220kV line CBs L15 &amp; L45</t>
  </si>
  <si>
    <t>B-phase E/F; 3ph T + L/O</t>
  </si>
  <si>
    <t>058.2/24</t>
  </si>
  <si>
    <t>Rakola – Thamaga</t>
  </si>
  <si>
    <t>Rakola - Thamaga 220kV line 2 CB L25</t>
  </si>
  <si>
    <t>01:31</t>
  </si>
  <si>
    <t>Under voltage trip</t>
  </si>
  <si>
    <t>Gaphatshwa – Rakola</t>
  </si>
  <si>
    <t>Gaphatshwa - Rakola 132kV line CB 305</t>
  </si>
  <si>
    <t>23:30</t>
  </si>
  <si>
    <t>Rakola – Gaphatshwa</t>
  </si>
  <si>
    <t>Rakola - Gaphatshwa 132kV line CB 505</t>
  </si>
  <si>
    <t>Diff trip B phase</t>
  </si>
  <si>
    <t>Segs 220/132kV TRF 4 LV CB 480</t>
  </si>
  <si>
    <t>23:33</t>
  </si>
  <si>
    <t>Galetshetse/SCADA</t>
  </si>
  <si>
    <t>Segs - Dwarsberg 132kV line CB 905</t>
  </si>
  <si>
    <t>23:16</t>
  </si>
  <si>
    <t>Dist + O/C trip</t>
  </si>
  <si>
    <t>Phakalane – Segoditshane</t>
  </si>
  <si>
    <t>Phakalane - Segs 132kV line CB 205</t>
  </si>
  <si>
    <t>058.3/24</t>
  </si>
  <si>
    <t>Isang Ext</t>
  </si>
  <si>
    <t>Isang Ext 220/66kV TRF1 &amp; 2 HV &amp; LV CBs H10 &amp; H20</t>
  </si>
  <si>
    <t>23:44</t>
  </si>
  <si>
    <t>HV Timed Earth Fault</t>
  </si>
  <si>
    <t>Gab South – Tlokweng</t>
  </si>
  <si>
    <t>Gab South - Tlokweng 132kV line CB 905</t>
  </si>
  <si>
    <t>23:51</t>
  </si>
  <si>
    <t>SCADA/Mangole</t>
  </si>
  <si>
    <t>Tlokweng – Gab South</t>
  </si>
  <si>
    <t>Tlokweng - Gab South 132kV line CB 105</t>
  </si>
  <si>
    <t>00:22</t>
  </si>
  <si>
    <t>Tlokweng – Segoditshane</t>
  </si>
  <si>
    <t>Tlokweng - Segs 132kV line CB 305</t>
  </si>
  <si>
    <t>00:24</t>
  </si>
  <si>
    <t>Tlokweng T1 HV &amp; LV CBs 110 &amp; 1H0</t>
  </si>
  <si>
    <t>Tlokweng T2 HV &amp; LV CBs 210 &amp; 2H0</t>
  </si>
  <si>
    <t>Gaphatshwa T3 &amp; T4 HV CBs 410 &amp; 210; LV CBs 3H0 &amp; 4H0</t>
  </si>
  <si>
    <t>01:35</t>
  </si>
  <si>
    <t>Low set E/F trip</t>
  </si>
  <si>
    <t>2024-03-17</t>
  </si>
  <si>
    <t>20:44</t>
  </si>
  <si>
    <t>059/24</t>
  </si>
  <si>
    <t>Gaborone South – Spitskop</t>
  </si>
  <si>
    <t>Gaborone South - Spitskop 132kV line CB 505</t>
  </si>
  <si>
    <t>21:40</t>
  </si>
  <si>
    <t>Karabo/SCADA</t>
  </si>
  <si>
    <t>Zone 1 distance trip; 3ph T + L/O</t>
  </si>
  <si>
    <t>2024-03-18</t>
  </si>
  <si>
    <t>22:55</t>
  </si>
  <si>
    <t>060/24</t>
  </si>
  <si>
    <t>Lobatse – Mmakgodumo</t>
  </si>
  <si>
    <t>South/North</t>
  </si>
  <si>
    <t>1ph Trip + ARC</t>
  </si>
  <si>
    <t>3ph Trip + L/O</t>
  </si>
  <si>
    <t>2024-03-29</t>
  </si>
  <si>
    <t>061/24</t>
  </si>
  <si>
    <t>MORP B - ISANG 400 kV line CB 1L5</t>
  </si>
  <si>
    <t>ISANG - MORP B 400 kV line CB 4L5</t>
  </si>
  <si>
    <t>2024-03-30</t>
  </si>
  <si>
    <t>062/24</t>
  </si>
  <si>
    <t>Kanye T1 LV CB 1HO</t>
  </si>
  <si>
    <t>SCADA/Mosarwe/Baoki</t>
  </si>
  <si>
    <t>OC &amp; E/F trip; Load loss (5.8 MW)</t>
  </si>
  <si>
    <t>Kanye T1 HV CB 180</t>
  </si>
  <si>
    <t>Kanye T2 LV CB 2HO</t>
  </si>
  <si>
    <t>OC &amp; E/F trip</t>
  </si>
  <si>
    <t>Kanye T2 HV CB 280</t>
  </si>
  <si>
    <t>2024-05-04</t>
  </si>
  <si>
    <t>04:23</t>
  </si>
  <si>
    <t>071/24</t>
  </si>
  <si>
    <t>Mogoditshane</t>
  </si>
  <si>
    <t>Mogoditshane T3 HV CB 410</t>
  </si>
  <si>
    <t>Tripped; Load loss (6 MW)</t>
  </si>
  <si>
    <t>Mogoditshane T3 LV CB 3H0</t>
  </si>
  <si>
    <t>Mogoditshane T4 HV CB 510</t>
  </si>
  <si>
    <t>Mogoditshane T4 LV CB 4H0</t>
  </si>
  <si>
    <t>2024-05-05</t>
  </si>
  <si>
    <t>18:57</t>
  </si>
  <si>
    <t>072/24</t>
  </si>
  <si>
    <t>Morupule B - Isang 400kV line CB 1L5</t>
  </si>
  <si>
    <t>20:13</t>
  </si>
  <si>
    <t>Blue phase to ground; 3ph T + L/O</t>
  </si>
  <si>
    <t>Isang - Morupule B 400kV line CB 4L5</t>
  </si>
  <si>
    <t>2024-05-06</t>
  </si>
  <si>
    <t>02:41</t>
  </si>
  <si>
    <t>073/24</t>
  </si>
  <si>
    <t>04:21</t>
  </si>
  <si>
    <t>05:18</t>
  </si>
  <si>
    <t>2024-05-14</t>
  </si>
  <si>
    <t>01:57</t>
  </si>
  <si>
    <t>075/24</t>
  </si>
  <si>
    <t>2024-05-24</t>
  </si>
  <si>
    <t>20:36</t>
  </si>
  <si>
    <t>077/24</t>
  </si>
  <si>
    <t>Francistown West</t>
  </si>
  <si>
    <t>F/Town West T1A LV CB 1HOA</t>
  </si>
  <si>
    <t>22:31</t>
  </si>
  <si>
    <t>Tripped; Load loss (8.7 MW)</t>
  </si>
  <si>
    <t>F/Town West T2A LV CB 2HOA</t>
  </si>
  <si>
    <t>22:33</t>
  </si>
  <si>
    <t>2024-05-28</t>
  </si>
  <si>
    <t>078/24</t>
  </si>
  <si>
    <t>Phokoje – Insukamini</t>
  </si>
  <si>
    <t>01:09</t>
  </si>
  <si>
    <t>2024-05-31</t>
  </si>
  <si>
    <t>07:51</t>
  </si>
  <si>
    <t>079/24</t>
  </si>
  <si>
    <t>Gab East T1A HV CB 110A</t>
  </si>
  <si>
    <t>08:37</t>
  </si>
  <si>
    <t>SCADA/R. Galetshetse</t>
  </si>
  <si>
    <t>LV REF trip; Load loss (10 MW)</t>
  </si>
  <si>
    <t>Gab East T1A LV CB 1H0A</t>
  </si>
  <si>
    <t>LV REF trip</t>
  </si>
  <si>
    <t>15:35</t>
  </si>
  <si>
    <t>Orapa 2 T1 HV CB H10</t>
  </si>
  <si>
    <t>18:46</t>
  </si>
  <si>
    <t>SCADA/Maduo</t>
  </si>
  <si>
    <t>Master trip; Load loss (15 MW)</t>
  </si>
  <si>
    <t>Orapa 2 T1 LV CB H08</t>
  </si>
  <si>
    <t>18:50</t>
  </si>
  <si>
    <t>SCADA/Louis</t>
  </si>
  <si>
    <t>E/F trip</t>
  </si>
  <si>
    <t>2024-06-01</t>
  </si>
  <si>
    <t>16:50</t>
  </si>
  <si>
    <t>080/24</t>
  </si>
  <si>
    <t>Woodhall T3 LV CB H30</t>
  </si>
  <si>
    <t>LV CB Close block</t>
  </si>
  <si>
    <t>2024-06-03</t>
  </si>
  <si>
    <t>12:25</t>
  </si>
  <si>
    <t>081/24</t>
  </si>
  <si>
    <t>Hydromet – Phoenix 1</t>
  </si>
  <si>
    <t>Blue phase to ground; Load loss (0.68 MW)</t>
  </si>
  <si>
    <t>2024-06-04</t>
  </si>
  <si>
    <t>05:07</t>
  </si>
  <si>
    <t>082/24</t>
  </si>
  <si>
    <t>Lobatse T2A HV CB 210</t>
  </si>
  <si>
    <t>Tripped; Load loss</t>
  </si>
  <si>
    <t>Lobatse T2A LV CB 2H0</t>
  </si>
  <si>
    <t>2024-06-07</t>
  </si>
  <si>
    <t>2024-06-17</t>
  </si>
  <si>
    <t>09:41</t>
  </si>
  <si>
    <t>083/24</t>
  </si>
  <si>
    <t>Maun T1 HV CB 110</t>
  </si>
  <si>
    <t>11:08</t>
  </si>
  <si>
    <t>Buchholz gas alarm; Load loss (17.9 MW)</t>
  </si>
  <si>
    <t>Maun T1 LV CB 1T0</t>
  </si>
  <si>
    <t>09:45</t>
  </si>
  <si>
    <t>Maun T2 HV CB 210</t>
  </si>
  <si>
    <t>10:59</t>
  </si>
  <si>
    <t>Master trip; Main protection operated</t>
  </si>
  <si>
    <t>Maun T2 LV CB 2T0</t>
  </si>
  <si>
    <t>11:05</t>
  </si>
  <si>
    <t>2024-06-28</t>
  </si>
  <si>
    <t>15:03</t>
  </si>
  <si>
    <t>084/24</t>
  </si>
  <si>
    <t>Ghanzi T1 HV CB 110</t>
  </si>
  <si>
    <t>15:25</t>
  </si>
  <si>
    <t>SCADA/Rasefako</t>
  </si>
  <si>
    <t>Main Trip Circuit Fail; Load loss (17.9 MW)</t>
  </si>
  <si>
    <t>Ghanzi T1 LV CB 1H0</t>
  </si>
  <si>
    <t>HV trip received</t>
  </si>
  <si>
    <t>Ghanzi Bus Section CB 1S0</t>
  </si>
  <si>
    <t>Buszone protection ABC</t>
  </si>
  <si>
    <t>2024-07-04</t>
  </si>
  <si>
    <t>085/24</t>
  </si>
  <si>
    <t>FWST</t>
  </si>
  <si>
    <t>FWST T2A LV CB 2H0A</t>
  </si>
  <si>
    <t>18:33</t>
  </si>
  <si>
    <t>Overload due to T1A outage; 75% load restored</t>
  </si>
  <si>
    <t>2024-07-05</t>
  </si>
  <si>
    <t>06:26</t>
  </si>
  <si>
    <t>086/24</t>
  </si>
  <si>
    <t>Segs - Tlokweng 132kV line CB 105</t>
  </si>
  <si>
    <t>DIFF trip</t>
  </si>
  <si>
    <t>Tlokweng T1 HV CB 110</t>
  </si>
  <si>
    <t>09:35</t>
  </si>
  <si>
    <t>Master trip; winding &amp; REF trip</t>
  </si>
  <si>
    <t>Tlokweng T1 LV CB 1HO</t>
  </si>
  <si>
    <t>2024-07-08</t>
  </si>
  <si>
    <t>06:23</t>
  </si>
  <si>
    <t>089/24</t>
  </si>
  <si>
    <t>F/Town 11kV Bus Section CB 1SO</t>
  </si>
  <si>
    <t>07:49</t>
  </si>
  <si>
    <t>Tripped; Load loss (7.55 MW)</t>
  </si>
  <si>
    <t>2024-07-12</t>
  </si>
  <si>
    <t>20:48</t>
  </si>
  <si>
    <t>091/24</t>
  </si>
  <si>
    <t>MORP B - ISANG 400kV line CB 1L5</t>
  </si>
  <si>
    <t>20:51</t>
  </si>
  <si>
    <t>3ph T + L/O; Blue phase to ground</t>
  </si>
  <si>
    <t>ISANG - MORP B 400kV line CB 4L5</t>
  </si>
  <si>
    <t>2024-07-19</t>
  </si>
  <si>
    <t>093/24</t>
  </si>
  <si>
    <t>2024-07-20</t>
  </si>
  <si>
    <t>10:17</t>
  </si>
  <si>
    <t>092/24</t>
  </si>
  <si>
    <t>Legotlhwane – Motheo</t>
  </si>
  <si>
    <t>Legotlhwane - Motheo 132kV CB 205</t>
  </si>
  <si>
    <t>14:50</t>
  </si>
  <si>
    <t>Load loss to Ghanzi (3 MW) &amp; Motheo Mine (4 MW)</t>
  </si>
  <si>
    <t>2024-07-23</t>
  </si>
  <si>
    <t>11:35</t>
  </si>
  <si>
    <t>094/24</t>
  </si>
  <si>
    <t>Thamaga - Jwaneng 132kV line 2 CB 505</t>
  </si>
  <si>
    <t>12:07</t>
  </si>
  <si>
    <t>SCADA/Gaboitsiwe</t>
  </si>
  <si>
    <t>Jwaneng - Thamaga 132kV line 2 CB 205</t>
  </si>
  <si>
    <t>12:08</t>
  </si>
  <si>
    <t>SCADA/Charles</t>
  </si>
  <si>
    <t>2024-07-24</t>
  </si>
  <si>
    <t>Letlhakane – Morupule B</t>
  </si>
  <si>
    <t>Letlhakane - Morupule B 400kV line CB L15</t>
  </si>
  <si>
    <t>16:20</t>
  </si>
  <si>
    <t>Morupule B - Letlhakane 400kV line CB L25</t>
  </si>
  <si>
    <t>2024-07-27</t>
  </si>
  <si>
    <t>10:02</t>
  </si>
  <si>
    <t>096/24</t>
  </si>
  <si>
    <t>REF &amp; Winding trip; Surge arrester blown</t>
  </si>
  <si>
    <t>Tlokweng T2 LV CB 2H0</t>
  </si>
  <si>
    <t>E/F trip; Load loss (8.5 MW)</t>
  </si>
  <si>
    <t>2024-08-29</t>
  </si>
  <si>
    <t>02:18</t>
  </si>
  <si>
    <t>098/24</t>
  </si>
  <si>
    <t>LV Restricted Earth Fault; Through fault from CSS</t>
  </si>
  <si>
    <t>2024-09-02</t>
  </si>
  <si>
    <t>08:20</t>
  </si>
  <si>
    <t>100/24</t>
  </si>
  <si>
    <t>10:41</t>
  </si>
  <si>
    <t>3ph T + L/O; L1-N fault</t>
  </si>
  <si>
    <t>2024-09-04</t>
  </si>
  <si>
    <t>05:58</t>
  </si>
  <si>
    <t>102/24</t>
  </si>
  <si>
    <t>17:45</t>
  </si>
  <si>
    <t>Master trip, backup trip</t>
  </si>
  <si>
    <t>103/24</t>
  </si>
  <si>
    <t>2024-09-12</t>
  </si>
  <si>
    <t>Jwaneng T8 HV CB</t>
  </si>
  <si>
    <t>08:54</t>
  </si>
  <si>
    <t>Diff relay trip; Load loss (7.5 MW)</t>
  </si>
  <si>
    <t>Jwaneng T8 LV CB</t>
  </si>
  <si>
    <t>2024-09-14</t>
  </si>
  <si>
    <t>104/24</t>
  </si>
  <si>
    <t>Orapa 220/33kV T1 HV CB H10</t>
  </si>
  <si>
    <t>Master trip, REF trip; Load loss (3 MW)</t>
  </si>
  <si>
    <t>Orapa 220/33kV T1 LV CB 1H0</t>
  </si>
  <si>
    <t>2024-09-15</t>
  </si>
  <si>
    <t>08:01</t>
  </si>
  <si>
    <t>105/24</t>
  </si>
  <si>
    <t>Zone 5 – Bosetu</t>
  </si>
  <si>
    <t>Zone 5 - Bosetu 132kV line CB 105</t>
  </si>
  <si>
    <t>12:28</t>
  </si>
  <si>
    <t>Bus zone trip; Load loss (8.31 MW)</t>
  </si>
  <si>
    <t>T1 HV CB 110</t>
  </si>
  <si>
    <t>12:31</t>
  </si>
  <si>
    <t>T1 LV CB 1T0</t>
  </si>
  <si>
    <t>12:57</t>
  </si>
  <si>
    <t>T2 HV CB 210</t>
  </si>
  <si>
    <t>12:32</t>
  </si>
  <si>
    <t>T2 LV CB 2T0</t>
  </si>
  <si>
    <t>2024-09-20</t>
  </si>
  <si>
    <t>05:43</t>
  </si>
  <si>
    <t>106/24</t>
  </si>
  <si>
    <t>05:46</t>
  </si>
  <si>
    <t>107/24</t>
  </si>
  <si>
    <t>Duplicate of 104/24</t>
  </si>
  <si>
    <t>2024-09-27</t>
  </si>
  <si>
    <t>11:51</t>
  </si>
  <si>
    <t>SEGS - DWARS 132kV line CB 905</t>
  </si>
  <si>
    <t>12:00</t>
  </si>
  <si>
    <t>DWARS - SEGS 132kV line CB</t>
  </si>
  <si>
    <t>11:58</t>
  </si>
  <si>
    <t>2024-09-28</t>
  </si>
  <si>
    <t>13:25</t>
  </si>
  <si>
    <t>108/24</t>
  </si>
  <si>
    <t>14:58</t>
  </si>
  <si>
    <t>3ph T + L/O; Load loss (14.64 MW)</t>
  </si>
  <si>
    <t>17:41</t>
  </si>
  <si>
    <t>109/24</t>
  </si>
  <si>
    <t>WoodHall</t>
  </si>
  <si>
    <t>WoodHall T1A &amp; T2A LV CBs</t>
  </si>
  <si>
    <t>20:28</t>
  </si>
  <si>
    <t>SCADA/Kaloso</t>
  </si>
  <si>
    <t>HV O/C trip; Load loss (2.1 MW)</t>
  </si>
  <si>
    <t>2024-09-30</t>
  </si>
  <si>
    <t>110/24</t>
  </si>
  <si>
    <t>Mmakgodumo – Lobatse</t>
  </si>
  <si>
    <t>20:27</t>
  </si>
  <si>
    <t>White phase trip; 3ph T + L/O</t>
  </si>
  <si>
    <t>B/U E/F &amp; O/C trip</t>
  </si>
  <si>
    <t>2024-10-04</t>
  </si>
  <si>
    <t>111/24</t>
  </si>
  <si>
    <t>18:32</t>
  </si>
  <si>
    <t>BZ B/U trip; Load loss (0.5 MW)</t>
  </si>
  <si>
    <t>66kV Bus Coupler CB 130</t>
  </si>
  <si>
    <t>Diff &amp; Instantaneous current trip</t>
  </si>
  <si>
    <t>2024-10-11</t>
  </si>
  <si>
    <t>112/24</t>
  </si>
  <si>
    <t>Jwaneng T8 HV CB 110</t>
  </si>
  <si>
    <t>17:17</t>
  </si>
  <si>
    <t>Diff trip (Phase C); Load loss (5.5 MW)</t>
  </si>
  <si>
    <t>Jwaneng T8 LV CB 8H0</t>
  </si>
  <si>
    <t>2024-10-14</t>
  </si>
  <si>
    <t>19:41</t>
  </si>
  <si>
    <t>F/Town West T2A LV CB 1HOA</t>
  </si>
  <si>
    <t>21:15</t>
  </si>
  <si>
    <t>Master trip; Load loss (7.8 MW)</t>
  </si>
  <si>
    <t>2024-10-16</t>
  </si>
  <si>
    <t>04:18</t>
  </si>
  <si>
    <t>113/24</t>
  </si>
  <si>
    <t>G/Enclave</t>
  </si>
  <si>
    <t>G/Enclave T1 LV CB 1H0</t>
  </si>
  <si>
    <t>05:39</t>
  </si>
  <si>
    <t>Phase trip; Bus Section CB also tripped</t>
  </si>
  <si>
    <t>G/Enclave T2 LV CB 2H0</t>
  </si>
  <si>
    <t>11kV Bus Section CB 1SO</t>
  </si>
  <si>
    <t>Tripped (not updating on SCADA)</t>
  </si>
  <si>
    <t>2024-10-18</t>
  </si>
  <si>
    <t>14:11</t>
  </si>
  <si>
    <t>115/24</t>
  </si>
  <si>
    <t>Segoditshane – Airport Road</t>
  </si>
  <si>
    <t>Segs - Airport Road 132kV Line CB 205</t>
  </si>
  <si>
    <t>14:56</t>
  </si>
  <si>
    <t>2024-10-27</t>
  </si>
  <si>
    <t>18:45</t>
  </si>
  <si>
    <t>119/24</t>
  </si>
  <si>
    <t>Dukwi – Sua Pan</t>
  </si>
  <si>
    <t>19:34</t>
  </si>
  <si>
    <t>3ph T + L/O; loud noise reported</t>
  </si>
  <si>
    <t>2024-11-08</t>
  </si>
  <si>
    <t>127/24</t>
  </si>
  <si>
    <t>Makoba – Samochima</t>
  </si>
  <si>
    <t>3ph T + L/O; Load loss (3.2 MW)</t>
  </si>
  <si>
    <t>2024-11-09</t>
  </si>
  <si>
    <t>15:48</t>
  </si>
  <si>
    <t>132/24</t>
  </si>
  <si>
    <t>Maun T2 HV CB 210 &amp; LV CB 2T0</t>
  </si>
  <si>
    <t>E/F, Master trip; No load loss</t>
  </si>
  <si>
    <t>16:52</t>
  </si>
  <si>
    <t>133/24</t>
  </si>
  <si>
    <t>Cloudy &amp; Windy</t>
  </si>
  <si>
    <t>17:04</t>
  </si>
  <si>
    <t>134/24</t>
  </si>
  <si>
    <t>18:07</t>
  </si>
  <si>
    <t>2024-11-10</t>
  </si>
  <si>
    <t>22:24</t>
  </si>
  <si>
    <t>136/24</t>
  </si>
  <si>
    <t>22:39</t>
  </si>
  <si>
    <t>23:36</t>
  </si>
  <si>
    <t>137/24</t>
  </si>
  <si>
    <t>Gaphatshwa T2 HV CB 610</t>
  </si>
  <si>
    <t>Tripped; Load loss (4 MW)</t>
  </si>
  <si>
    <t>Gaphatshwa T2 LV CB H20</t>
  </si>
  <si>
    <t>2024-11-12</t>
  </si>
  <si>
    <t>05:09</t>
  </si>
  <si>
    <t>138/24</t>
  </si>
  <si>
    <t>Dukwi – Mawana</t>
  </si>
  <si>
    <t>Dukwi - Mawana 132kV line CB 105</t>
  </si>
  <si>
    <t>06:03</t>
  </si>
  <si>
    <t>3ph T + L/O; Load loss (7 MW)</t>
  </si>
  <si>
    <t>Mawana – Dukwi</t>
  </si>
  <si>
    <t>Mawana - Dukwi 132kV line CB 105</t>
  </si>
  <si>
    <t>SCARA</t>
  </si>
  <si>
    <t>141/24</t>
  </si>
  <si>
    <t>Morupule B – Phokoje</t>
  </si>
  <si>
    <t>Morupule B - Phokoje 400kV Line CB 3L5</t>
  </si>
  <si>
    <t>SCADA /Moloinoga</t>
  </si>
  <si>
    <t>DTTS ,DTTR ,Master trip</t>
  </si>
  <si>
    <t>Phokoje - Morupule B 400kV Line CB 1L5</t>
  </si>
  <si>
    <t>13:14</t>
  </si>
  <si>
    <t>SCADA/Likokotlo</t>
  </si>
  <si>
    <t>DTTR ,Phase RWB Trip</t>
  </si>
  <si>
    <t>Morupule B Busbar CB 1RO</t>
  </si>
  <si>
    <t>Morupule B Buscoupler CB 2WO</t>
  </si>
  <si>
    <t>13:06</t>
  </si>
  <si>
    <t>Bus zone B trip</t>
  </si>
  <si>
    <t>Morupule B Generator 1</t>
  </si>
  <si>
    <t>13:29</t>
  </si>
  <si>
    <t>Morupule B 400/220kV Station Transformer 1 CB 1TO</t>
  </si>
  <si>
    <t>2024-11-13</t>
  </si>
  <si>
    <t>06:30</t>
  </si>
  <si>
    <t>140/24</t>
  </si>
  <si>
    <t>Phikwe</t>
  </si>
  <si>
    <t>66kV Bus Bar A</t>
  </si>
  <si>
    <t>11:38</t>
  </si>
  <si>
    <t>Bus zone trip; Load loss (4 MW)</t>
  </si>
  <si>
    <t>11:06</t>
  </si>
  <si>
    <t>142/24</t>
  </si>
  <si>
    <t>12:40</t>
  </si>
  <si>
    <t>143/24</t>
  </si>
  <si>
    <t>23:14</t>
  </si>
  <si>
    <t>3ph T + L/O (during protection test)</t>
  </si>
  <si>
    <t>2024-11-22</t>
  </si>
  <si>
    <t>21:23</t>
  </si>
  <si>
    <t>145/24</t>
  </si>
  <si>
    <t>Phokoje – Serule</t>
  </si>
  <si>
    <t>Phokoje - Serule 220kV Line CB L35</t>
  </si>
  <si>
    <t>21:32</t>
  </si>
  <si>
    <t>Blue phase to neutral</t>
  </si>
  <si>
    <t>Serule - Phokoje 220kV Line CB L95</t>
  </si>
  <si>
    <t>21:55</t>
  </si>
  <si>
    <t>SCADA/D. Sekgatlhola</t>
  </si>
  <si>
    <t>2024-11-24</t>
  </si>
  <si>
    <t>147/24</t>
  </si>
  <si>
    <t>Morupule B Unit 4</t>
  </si>
  <si>
    <t>Misc</t>
  </si>
  <si>
    <t>01:08</t>
  </si>
  <si>
    <t>PA Fluctuations</t>
  </si>
  <si>
    <t>01:36</t>
  </si>
  <si>
    <t>148/24</t>
  </si>
  <si>
    <t>Makoba – Legotlhwane</t>
  </si>
  <si>
    <t>Makoba - Legotlhwane 132kV Line CB 105</t>
  </si>
  <si>
    <t>01:39</t>
  </si>
  <si>
    <t>3ph T + L/O; Load loss (2.5 MW)</t>
  </si>
  <si>
    <t>18:21</t>
  </si>
  <si>
    <t>150/24</t>
  </si>
  <si>
    <t>Rakola – Molepolole</t>
  </si>
  <si>
    <t>Rakola - Molepolole 132kV CB 205</t>
  </si>
  <si>
    <t>18:23</t>
  </si>
  <si>
    <t>SCADA /Sekgatlhola</t>
  </si>
  <si>
    <t>20:16</t>
  </si>
  <si>
    <t>152/24</t>
  </si>
  <si>
    <t>Phokoje - Insukamini 400kV Line CB 2L5</t>
  </si>
  <si>
    <t>21:21</t>
  </si>
  <si>
    <t>21:35</t>
  </si>
  <si>
    <t>154/24</t>
  </si>
  <si>
    <t>Gaphatshwa T3 LV CB 3H0</t>
  </si>
  <si>
    <t>21:34</t>
  </si>
  <si>
    <t>SCADA/Madubeko</t>
  </si>
  <si>
    <t>Tripped; Load loss (5 MW)</t>
  </si>
  <si>
    <t>Gaphatshwa T4 LV CB 4H0</t>
  </si>
  <si>
    <t>2024-11-26</t>
  </si>
  <si>
    <t>159/24</t>
  </si>
  <si>
    <t>Rain &amp; Thunder</t>
  </si>
  <si>
    <t>3ph T + L/O; Load loss (2.4 MW)</t>
  </si>
  <si>
    <t>18:59</t>
  </si>
  <si>
    <t>120/24</t>
  </si>
  <si>
    <t>20:23</t>
  </si>
  <si>
    <t>19:32</t>
  </si>
  <si>
    <t>Phokoje – Selebi-Phikwe</t>
  </si>
  <si>
    <t>Phokoje - Selebi-Phikwe 220kV line CB L25</t>
  </si>
  <si>
    <t>20:15</t>
  </si>
  <si>
    <t>Selebi-Phikwe - Phokoje 220kV line CB L15</t>
  </si>
  <si>
    <t>2024-11-27</t>
  </si>
  <si>
    <t>14:55</t>
  </si>
  <si>
    <t>131/24</t>
  </si>
  <si>
    <t>Dukwi - Sua Pan 132kV line CB 305</t>
  </si>
  <si>
    <t>3ph T + L/O; Load loss (4 MW)</t>
  </si>
  <si>
    <t>121/24</t>
  </si>
  <si>
    <t>Dukwi – Mowana</t>
  </si>
  <si>
    <t>Dukwi - Mowana 132kV line CB 205</t>
  </si>
  <si>
    <t>Molefhi</t>
  </si>
  <si>
    <t>3ph T + L/O; Load loss (3 MW)</t>
  </si>
  <si>
    <t>125/24</t>
  </si>
  <si>
    <t>Serule – Orapa 2</t>
  </si>
  <si>
    <t>Orapa 2 – Serule</t>
  </si>
  <si>
    <t>14:25</t>
  </si>
  <si>
    <t>Tsenang</t>
  </si>
  <si>
    <t>139/24</t>
  </si>
  <si>
    <t>S-Phikwe (Bobonong 66kV)</t>
  </si>
  <si>
    <t>220/66kV T6: HV CB H60 &amp; LV CB 110</t>
  </si>
  <si>
    <t>TX restored after CSS removed shield wire on Bobonong 66kV line; Load loss (9 MW)</t>
  </si>
  <si>
    <t>2024-12-01</t>
  </si>
  <si>
    <t>15:38</t>
  </si>
  <si>
    <t>161/24</t>
  </si>
  <si>
    <t>S/Phikwe – Phokoje 2</t>
  </si>
  <si>
    <t>S/Phikwe - Phokoje 2 220kV Line CB L15</t>
  </si>
  <si>
    <t>20:08</t>
  </si>
  <si>
    <t>SCADA / Likokotlo</t>
  </si>
  <si>
    <t>O/C; Load loss to S/Phikwe, WUC, BCL (25 MW)</t>
  </si>
  <si>
    <t>Phokoje – S/Phikwe 2</t>
  </si>
  <si>
    <t>Phokoje - S/Phikwe 2 220kV Line CB L45</t>
  </si>
  <si>
    <t>20:11</t>
  </si>
  <si>
    <t>Did not trip initially; later closed</t>
  </si>
  <si>
    <t>S/Phikwe 220/11kV Transformer 1 HV CB H20</t>
  </si>
  <si>
    <t>20:09</t>
  </si>
  <si>
    <t>REF Start, Master trip</t>
  </si>
  <si>
    <t>S/Phikwe 220/11kV Transformer 1 LV CB A2TO</t>
  </si>
  <si>
    <t>S/Phikwe 220/11kV Transformer 3 HV CB H30</t>
  </si>
  <si>
    <t>REF Start</t>
  </si>
  <si>
    <t>S/Phikwe 220/11kV Transformer 3 LV CB A1TO</t>
  </si>
  <si>
    <t>S/Phikwe 220/66kV Transformer 5 HV CB H50</t>
  </si>
  <si>
    <t>HV O/C &amp; E/F trip</t>
  </si>
  <si>
    <t>S/Phikwe 220/66kV Transformer 5 LV CB 210</t>
  </si>
  <si>
    <t>S/Phikwe 220/66kV Transformer 6 HV CB H60</t>
  </si>
  <si>
    <t>REF harmonic block, Inter trip receive</t>
  </si>
  <si>
    <t>S/Phikwe 220/66kV Transformer 6 LV CB 110</t>
  </si>
  <si>
    <t>2024-12-03</t>
  </si>
  <si>
    <t>08:42</t>
  </si>
  <si>
    <t>162/24</t>
  </si>
  <si>
    <t>Phokoje - Serule 220kV line CB L55</t>
  </si>
  <si>
    <t>08:48</t>
  </si>
  <si>
    <t>Serule – Phokoje</t>
  </si>
  <si>
    <t>Serule - Phokoje 220kV line CB L65</t>
  </si>
  <si>
    <t>2024-12-06</t>
  </si>
  <si>
    <t>163/24</t>
  </si>
  <si>
    <t>03:26</t>
  </si>
  <si>
    <t>Zone 1, Phase C-G, SOTF; 3ph Trip+L/O</t>
  </si>
  <si>
    <t>07:43</t>
  </si>
  <si>
    <t>SCADA / Boiditswe</t>
  </si>
  <si>
    <t>11kV Inter trip send, Master trip</t>
  </si>
  <si>
    <t>04:12</t>
  </si>
  <si>
    <t>2024-12-10</t>
  </si>
  <si>
    <t>16:08</t>
  </si>
  <si>
    <t>165/24</t>
  </si>
  <si>
    <t>Ramotswa – Woodhall</t>
  </si>
  <si>
    <t>Ramotswa - Woodhall 132kV Line CB 105</t>
  </si>
  <si>
    <t>SCADA / Kaloso</t>
  </si>
  <si>
    <t>18:02</t>
  </si>
  <si>
    <t>167/24</t>
  </si>
  <si>
    <t>Segs – Dwaarsberg</t>
  </si>
  <si>
    <t>Segs - Dwaarsberg 132kV Line CB 905</t>
  </si>
  <si>
    <t>18:18</t>
  </si>
  <si>
    <t>Gabsouth – Spitskop</t>
  </si>
  <si>
    <t>19:17</t>
  </si>
  <si>
    <t>SCADA / Rapelang</t>
  </si>
  <si>
    <t>166/24</t>
  </si>
  <si>
    <t>Maun 132/11kV T2 HV &amp; LV CBs 210 &amp; 2TO</t>
  </si>
  <si>
    <t>23:57</t>
  </si>
  <si>
    <t>Earth fault &amp; Master trip; Loss of supply to Maun and surrounding areas</t>
  </si>
  <si>
    <t>22:35</t>
  </si>
  <si>
    <t>Maun 132/11kV T1 LV CB 1TO</t>
  </si>
  <si>
    <t>Due to CSS feeders</t>
  </si>
  <si>
    <t>2024-12-13</t>
  </si>
  <si>
    <t>06:53</t>
  </si>
  <si>
    <t>070/24</t>
  </si>
  <si>
    <t>Morupule A – Isang</t>
  </si>
  <si>
    <t>Morupule A - Isang 220kV line CB 1L5</t>
  </si>
  <si>
    <t>06:57</t>
  </si>
  <si>
    <t>Isang – Morupule A</t>
  </si>
  <si>
    <t>Isang - Morupule A 220kV line CB 1L5</t>
  </si>
  <si>
    <t>170/24</t>
  </si>
  <si>
    <t>20:29</t>
  </si>
  <si>
    <t>3ph T + L/O; Z1 operated</t>
  </si>
  <si>
    <t>Insukamini – Phokoje</t>
  </si>
  <si>
    <t>Insukamini - Phokoje 400kV Line CB 2L5</t>
  </si>
  <si>
    <t>21:00</t>
  </si>
  <si>
    <t>2024-12-14</t>
  </si>
  <si>
    <t>15:52</t>
  </si>
  <si>
    <t>169/24</t>
  </si>
  <si>
    <t>Woodhall T1A 11kV CB 1HO</t>
  </si>
  <si>
    <t>16:40</t>
  </si>
  <si>
    <t>HV O/C Low set trip &amp; I/T Rec; Load loss to Lobatse (2.2 MW)</t>
  </si>
  <si>
    <t>Woodhall T2A 11kV CB 2HO</t>
  </si>
  <si>
    <t>17:02</t>
  </si>
  <si>
    <t>TX protection trip &amp; 11kV I/T Rec</t>
  </si>
  <si>
    <t>2024-12-15</t>
  </si>
  <si>
    <t>17:37</t>
  </si>
  <si>
    <t>172/24</t>
  </si>
  <si>
    <t>Jwaneng – Thamaga</t>
  </si>
  <si>
    <t>Jwaneng - Thamaga 132kV Line 1 CB 105</t>
  </si>
  <si>
    <t>3Ph trip +ARC; No load loss</t>
  </si>
  <si>
    <t>2024-12-16</t>
  </si>
  <si>
    <t>074/24</t>
  </si>
  <si>
    <t>Morupule A – Serule</t>
  </si>
  <si>
    <t>08:58</t>
  </si>
  <si>
    <t>3ph T + L/O; Z1, Z2 trips; Distance to fault = 21.71 km; Spring found discharged</t>
  </si>
  <si>
    <t>Serule – Morupule A</t>
  </si>
  <si>
    <t>08:59</t>
  </si>
  <si>
    <t>SCADA / Sekgatlhola</t>
  </si>
  <si>
    <t>14:15</t>
  </si>
  <si>
    <t>Francistown Main – Dukwe</t>
  </si>
  <si>
    <t>Francistown Main - Dukwe 132kV line CB 205</t>
  </si>
  <si>
    <t>SCADA / Chabalala</t>
  </si>
  <si>
    <t>3ph trip + ARC; Zone 1; Distance to fault = 43.1 km; No load loss</t>
  </si>
  <si>
    <t>2024-12-17</t>
  </si>
  <si>
    <t>22:36</t>
  </si>
  <si>
    <t>174/24</t>
  </si>
  <si>
    <t>05:10</t>
  </si>
  <si>
    <t>SCADA / Tsenang</t>
  </si>
  <si>
    <t>Load loss to Debswana; Mine Feeder 1 tripped on O/C, Feeder 2 on E/F</t>
  </si>
  <si>
    <t>2024-12-20</t>
  </si>
  <si>
    <t>15:16</t>
  </si>
  <si>
    <t>180/24</t>
  </si>
  <si>
    <t>Mawana – Maun</t>
  </si>
  <si>
    <t>SCADA / Mosala</t>
  </si>
  <si>
    <t>3ph T + L/O; Load loss to Maun Substation (10.9 MW)</t>
  </si>
  <si>
    <t>Maun – Mawana</t>
  </si>
  <si>
    <t>15:27</t>
  </si>
  <si>
    <t>2024-12-23</t>
  </si>
  <si>
    <t>03:20</t>
  </si>
  <si>
    <t>182/24</t>
  </si>
  <si>
    <t>Morupule B – Isang</t>
  </si>
  <si>
    <t>Isang – Morupule B</t>
  </si>
  <si>
    <t>White phase to ground; 400/220kV T2&amp;3 switched out for restoration</t>
  </si>
  <si>
    <t>2024-12-24</t>
  </si>
  <si>
    <t>15:20</t>
  </si>
  <si>
    <t>183/24</t>
  </si>
  <si>
    <t>Legotlhwane – Makoba</t>
  </si>
  <si>
    <t>15:22</t>
  </si>
  <si>
    <t>3ph T + L/O; Load loss (3.8 MW) to Makoba and Samochima areas</t>
  </si>
  <si>
    <t>Makoba - Legotlhwane 132kV line CB 305</t>
  </si>
  <si>
    <t>15:21</t>
  </si>
  <si>
    <t>2024-12-28</t>
  </si>
  <si>
    <t>22:26</t>
  </si>
  <si>
    <t>185/24</t>
  </si>
  <si>
    <t>2024-12-31</t>
  </si>
  <si>
    <t>18:15</t>
  </si>
  <si>
    <t>188/24</t>
  </si>
  <si>
    <t>Woodhall T1A: 132kV CB 110</t>
  </si>
  <si>
    <t>STANDBY E/F HIGH SET; Load loss to Lobatse (5 MW)</t>
  </si>
  <si>
    <t>Woodhall T1A: 11kV CB 1H0</t>
  </si>
  <si>
    <t>BUS ZONE, TRIP ZONE1, CB FAIL TRIP</t>
  </si>
  <si>
    <t>Woodhall T4: 132kV CB 410</t>
  </si>
  <si>
    <t>19:11</t>
  </si>
  <si>
    <t>CB TRIP; Load loss to Lobatse (7 MW)</t>
  </si>
  <si>
    <t>Woodhall T4: 33kV CB H40</t>
  </si>
  <si>
    <t>Woodhall – Lobatse</t>
  </si>
  <si>
    <t>Woodhall - Lobatse 132kV Line CB 105</t>
  </si>
  <si>
    <t>18:40</t>
  </si>
  <si>
    <t>Woodhall – Ramotswa</t>
  </si>
  <si>
    <t>Woodhall - Ramotswa 132kV Line CB 205</t>
  </si>
  <si>
    <t>19:23</t>
  </si>
  <si>
    <t>2025-01-01</t>
  </si>
  <si>
    <t>003/25</t>
  </si>
  <si>
    <t>Zone 2 trip; 3ph T + L/O</t>
  </si>
  <si>
    <t>2025-01-05</t>
  </si>
  <si>
    <t>07:17</t>
  </si>
  <si>
    <t>104/25</t>
  </si>
  <si>
    <t>Gab South – Dwaarsberg</t>
  </si>
  <si>
    <t>Gab South - Dwaarsberg 132kV Line CB 905</t>
  </si>
  <si>
    <t>17:14</t>
  </si>
  <si>
    <t>Zone 1 trip, L1-N fault; Line patrol found no fault</t>
  </si>
  <si>
    <t>Dwaarsberg – Gab South</t>
  </si>
  <si>
    <t>Dwaarsberg - Gab South 132kV Line CB 305</t>
  </si>
  <si>
    <t>Zone 3 trip; 3ph T + L/O</t>
  </si>
  <si>
    <t>2025-01-11</t>
  </si>
  <si>
    <t>16:34</t>
  </si>
  <si>
    <t>008/25</t>
  </si>
  <si>
    <t>Ghantsi – Omaere</t>
  </si>
  <si>
    <t>Ghantsi - Omaere 132kV line CB 105</t>
  </si>
  <si>
    <t>16:35</t>
  </si>
  <si>
    <t>White phase Impedance E/F protection; 3ph T+L/O</t>
  </si>
  <si>
    <t>2025-01-13</t>
  </si>
  <si>
    <t>010/25</t>
  </si>
  <si>
    <t>Francistown Main - Dukwe 132kV line CB 105</t>
  </si>
  <si>
    <t>14:21</t>
  </si>
  <si>
    <t>Orapa 2 220/33kV T1 HV &amp; LV CBs</t>
  </si>
  <si>
    <t>15:32</t>
  </si>
  <si>
    <t>MASTER TRIP, MV STANDBY E/F; Load loss to Letlhakane mine/village (7 MW)</t>
  </si>
  <si>
    <t>2025-01-15</t>
  </si>
  <si>
    <t>012/25</t>
  </si>
  <si>
    <t>013/25</t>
  </si>
  <si>
    <t>Makoba T2 HV &amp; LV CBs</t>
  </si>
  <si>
    <t>Northwest</t>
  </si>
  <si>
    <t>04:10</t>
  </si>
  <si>
    <t>HV Bus zone trip, LV B/Z trip; Load loss 1.21 MW; Restored via NOP bus section</t>
  </si>
  <si>
    <t>2025-01-16</t>
  </si>
  <si>
    <t>16:36</t>
  </si>
  <si>
    <t>014/25</t>
  </si>
  <si>
    <t>3Ph T + ARC; R W B phase trip, VT operated</t>
  </si>
  <si>
    <t>BU O/C &amp; E/F trip, Diff trip; 3 ph T + ARC</t>
  </si>
  <si>
    <t>2025-01-21</t>
  </si>
  <si>
    <t>15:18</t>
  </si>
  <si>
    <t>017/25</t>
  </si>
  <si>
    <t>SCADA / K. Magola</t>
  </si>
  <si>
    <t>87 Trip, 79 lockout, SOTM; CSS reported mine truck hit pole at Mupane mine; Load loss 0.68 MW</t>
  </si>
  <si>
    <t>15:19</t>
  </si>
  <si>
    <t>016/25</t>
  </si>
  <si>
    <t>Tsabong – Heuning Vlei</t>
  </si>
  <si>
    <t>Zone 1, Phase A-G; suspected CSS feeder fault; Load loss 3 MW</t>
  </si>
  <si>
    <t>018/25</t>
  </si>
  <si>
    <t>Orapa 1 – Orapa 2</t>
  </si>
  <si>
    <t>Orapa 1 - Orapa 2 220kV line CB L15</t>
  </si>
  <si>
    <t>21:03</t>
  </si>
  <si>
    <t>Zone 1, 50/51 trip; Fault loop A-C; Load loss 28 MW</t>
  </si>
  <si>
    <t>2025-01-25</t>
  </si>
  <si>
    <t>21:04</t>
  </si>
  <si>
    <t>020/25</t>
  </si>
  <si>
    <t>22:08</t>
  </si>
  <si>
    <t>SCADA / Likokoto</t>
  </si>
  <si>
    <t>Master trip, DTTS, I/T send; 3ph T + L/O</t>
  </si>
  <si>
    <t>Serule - Phokoje 220kV line CB L95</t>
  </si>
  <si>
    <t>23:31</t>
  </si>
  <si>
    <t>O/C &amp; E/F relay; Master trip; 3ph T + L/O</t>
  </si>
  <si>
    <t>2025-01-26</t>
  </si>
  <si>
    <t>05:37</t>
  </si>
  <si>
    <t>020.1/25</t>
  </si>
  <si>
    <t>Woodhall T1A LV CB 1H0</t>
  </si>
  <si>
    <t>07:46</t>
  </si>
  <si>
    <t>HV O/C Low set &amp; Standby E/F High set; CSS reported fallen 11kV conductors; Load loss 1.8 MW</t>
  </si>
  <si>
    <t>2025-01-27</t>
  </si>
  <si>
    <t>04:24</t>
  </si>
  <si>
    <t>021/25</t>
  </si>
  <si>
    <t>Phokoje – Matimba</t>
  </si>
  <si>
    <t>Phokoje - Matimba 400kV Line CB 3L5</t>
  </si>
  <si>
    <t>05:19</t>
  </si>
  <si>
    <t>SCADA / Lekokotlo</t>
  </si>
  <si>
    <t>Direction E/F Trip, DTTS, Lockout; 3Ph trip +L/O</t>
  </si>
  <si>
    <t>Matimba – Phokoje</t>
  </si>
  <si>
    <t>Matimba - Phokoje 400kV Line CB 1L5</t>
  </si>
  <si>
    <t>04:35</t>
  </si>
  <si>
    <t>Red Phase to Ground; Distance to fault 132km</t>
  </si>
  <si>
    <t>05:22</t>
  </si>
  <si>
    <t>Master trip, DTTS, DTTR; 3Ph trip +L/O</t>
  </si>
  <si>
    <t>Insukamini - Phokoje 400kV Line CB 1105</t>
  </si>
  <si>
    <t>05:25</t>
  </si>
  <si>
    <t>SCADA / ZESA</t>
  </si>
  <si>
    <t>3Ph trip +L/O</t>
  </si>
  <si>
    <t>22:57</t>
  </si>
  <si>
    <t>00:19</t>
  </si>
  <si>
    <t>3Ph trip + L/O</t>
  </si>
  <si>
    <t>2025-01-28</t>
  </si>
  <si>
    <t>23:25</t>
  </si>
  <si>
    <t>022/25</t>
  </si>
  <si>
    <t>Morupule A 220kV Bus Coupler CB W10</t>
  </si>
  <si>
    <t>00:34</t>
  </si>
  <si>
    <t>Protection operated</t>
  </si>
  <si>
    <t>01:03</t>
  </si>
  <si>
    <t>3ph T + L/O; Distance to fault = 17.58 km</t>
  </si>
  <si>
    <t>01:00</t>
  </si>
  <si>
    <t>2025-01-30</t>
  </si>
  <si>
    <t>22:43</t>
  </si>
  <si>
    <t>023/25</t>
  </si>
  <si>
    <t>Morupule A - Isang 220kV line 2 CB L25</t>
  </si>
  <si>
    <t>22:58</t>
  </si>
  <si>
    <t>Zone 1 trip, carrier aided; 3ph T + L/O</t>
  </si>
  <si>
    <t>2025-02-07</t>
  </si>
  <si>
    <t>18:29</t>
  </si>
  <si>
    <t>030/25</t>
  </si>
  <si>
    <t>18:41</t>
  </si>
  <si>
    <t>Backup &amp; Instantaneous trip; Load loss 14.64 MW</t>
  </si>
  <si>
    <t>2025-02-10</t>
  </si>
  <si>
    <t>09:22</t>
  </si>
  <si>
    <t>067/25</t>
  </si>
  <si>
    <t>Tlokweng 132/11kV T2 HV CB 210</t>
  </si>
  <si>
    <t>18:30</t>
  </si>
  <si>
    <t>Winding 1 &amp; 2 trip, DIFF trip; No load loss</t>
  </si>
  <si>
    <t>Tlokweng 132/11kV T2 LV CB 2H0</t>
  </si>
  <si>
    <t>2025-02-11</t>
  </si>
  <si>
    <t>041/25</t>
  </si>
  <si>
    <t>3ph T + ARC; Load loss (2.4 MW Makoba, 3 MW Samochima)</t>
  </si>
  <si>
    <t>2025-02-14</t>
  </si>
  <si>
    <t>00:02</t>
  </si>
  <si>
    <t>042/25</t>
  </si>
  <si>
    <t>Legotlhwane – Mawana</t>
  </si>
  <si>
    <t>Legotlhwane - Mawana 220kV Line CB L15</t>
  </si>
  <si>
    <t>Diff trip, E/F, ARC; Load loss: Boseto (10.5 MW), Zone 5 (10.5 MW), Motheo Mine (10 MW)</t>
  </si>
  <si>
    <t>Mawana – Legotlhwane</t>
  </si>
  <si>
    <t>Mawana - Legotlhwane 220kV Line CB 25</t>
  </si>
  <si>
    <t>Imp Z1/Z2/Z4 trip, IDMT O/C, Broken conductor start</t>
  </si>
  <si>
    <t>Mawana 220/132kV Transformer 2 HV CB H20</t>
  </si>
  <si>
    <t>Diff trip, HV Low E/F Start</t>
  </si>
  <si>
    <t>Mawana 220/132kV Transformer 2 LV CB 280</t>
  </si>
  <si>
    <t>Master trip, LV Standby E/F Start, HV CB TCS trip</t>
  </si>
  <si>
    <t>01:55</t>
  </si>
  <si>
    <t>043/25</t>
  </si>
  <si>
    <t>Orapa 2 - Serule 220kV Line CB L15</t>
  </si>
  <si>
    <t>03:04</t>
  </si>
  <si>
    <t>Main 2: SOTF, Phase C-G, Distance to fault = 24.0 km</t>
  </si>
  <si>
    <t>2025-02-16</t>
  </si>
  <si>
    <t>22:48</t>
  </si>
  <si>
    <t>048/25</t>
  </si>
  <si>
    <t>Thamaga – Isang</t>
  </si>
  <si>
    <t>Thamaga - Isang 220kV Line Reactor CB R10</t>
  </si>
  <si>
    <t>00:49</t>
  </si>
  <si>
    <t>B/UP Protection Relay: Protection trip, B/UP trip</t>
  </si>
  <si>
    <t>2025-02-17</t>
  </si>
  <si>
    <t>04:56</t>
  </si>
  <si>
    <t>050/25</t>
  </si>
  <si>
    <t>05:03</t>
  </si>
  <si>
    <t>2025-02-18</t>
  </si>
  <si>
    <t>22:05</t>
  </si>
  <si>
    <t>055/25</t>
  </si>
  <si>
    <t>23:10</t>
  </si>
  <si>
    <t>Distance protection: SOTF, Phase A-G, Distance to fault = 48.15 km</t>
  </si>
  <si>
    <t>22:10</t>
  </si>
  <si>
    <t>056/25</t>
  </si>
  <si>
    <t>Rakola - Segs 220kV Line CB L35</t>
  </si>
  <si>
    <t>22:27</t>
  </si>
  <si>
    <t>22:50</t>
  </si>
  <si>
    <t>057/25</t>
  </si>
  <si>
    <t>Segoditshane – Dwaarsburg</t>
  </si>
  <si>
    <t>Segs - Dwarsburg 132kV Line CB 905</t>
  </si>
  <si>
    <t>23:02</t>
  </si>
  <si>
    <t>2025-02-19</t>
  </si>
  <si>
    <t>12:26</t>
  </si>
  <si>
    <t>061/25</t>
  </si>
  <si>
    <t>Gaphwatshwa</t>
  </si>
  <si>
    <t>Gaphwatshwa 132/33kV T2 LV CB H20</t>
  </si>
  <si>
    <t>LV O/C &amp; E/F trip; Master trip</t>
  </si>
  <si>
    <t>062/25</t>
  </si>
  <si>
    <t>Broadhurst</t>
  </si>
  <si>
    <t>Broadhurst 132/33kV LV CB 4T0</t>
  </si>
  <si>
    <t>17:47</t>
  </si>
  <si>
    <t>063/25</t>
  </si>
  <si>
    <t>G-Enclave – Gabsouth</t>
  </si>
  <si>
    <t>G-Enclave - Gabsouth 132kV Line 1 CB 105</t>
  </si>
  <si>
    <t>20:50</t>
  </si>
  <si>
    <t>SCADA / Karabo</t>
  </si>
  <si>
    <t>CB trip, Inter trip receive</t>
  </si>
  <si>
    <t>2025-02-21</t>
  </si>
  <si>
    <t>18:06</t>
  </si>
  <si>
    <t>065/25</t>
  </si>
  <si>
    <t>Gabsouth - Spitskop 132kV line CB 505</t>
  </si>
  <si>
    <t>18:24</t>
  </si>
  <si>
    <t>2025-02-23</t>
  </si>
  <si>
    <t>20:31</t>
  </si>
  <si>
    <t>066/25</t>
  </si>
  <si>
    <t>Back up Directional E/F, Zone 3, DTTS; Master trip</t>
  </si>
  <si>
    <t>Main 2: Trip, Ph C/Ground, Zone 2, O/C</t>
  </si>
  <si>
    <t>2025-02-25</t>
  </si>
  <si>
    <t>03:53</t>
  </si>
  <si>
    <t>068/25</t>
  </si>
  <si>
    <t>Letlhakane - Morp B 400kV Line CB 3L5</t>
  </si>
  <si>
    <t>Ground Imp trip, Phase A to Ground; Load loss: Motheo (13 MW), KCM (18 MW), Orapa (22 MW)</t>
  </si>
  <si>
    <t>Morupule B – Letlhakane</t>
  </si>
  <si>
    <t>Morp B - Letlhakane 400kV Line CB 2L5</t>
  </si>
  <si>
    <t>General trip, Zm trip, Master trip</t>
  </si>
  <si>
    <t>04:52</t>
  </si>
  <si>
    <t>069/25</t>
  </si>
  <si>
    <t>06:19</t>
  </si>
  <si>
    <t>Overvoltage; Gen trip, HV inter trip</t>
  </si>
  <si>
    <t>04:59</t>
  </si>
  <si>
    <t>Mawana - Legotlhwane 220kV Line CB L25</t>
  </si>
  <si>
    <t>05:01</t>
  </si>
  <si>
    <t>18:47</t>
  </si>
  <si>
    <t>071/25</t>
  </si>
  <si>
    <t>2025-02-28</t>
  </si>
  <si>
    <t>05:04</t>
  </si>
  <si>
    <t>071/A/25</t>
  </si>
  <si>
    <t>Phokoje - Matimba 400kV line</t>
  </si>
  <si>
    <t>05:45</t>
  </si>
  <si>
    <t>Blue Phase Impedance E/F; 3 Ph T+L/O</t>
  </si>
  <si>
    <t>Phokoje - Insukamini 400kV line</t>
  </si>
  <si>
    <t>06:11</t>
  </si>
  <si>
    <t>DTTS/R, Master trip; 3 Ph T+L/O</t>
  </si>
  <si>
    <t>05:32</t>
  </si>
  <si>
    <t>Gab South - Spitskop 132kV line</t>
  </si>
  <si>
    <t>06:29</t>
  </si>
  <si>
    <t>Overload operated; 3 Ph T+L/O</t>
  </si>
  <si>
    <t>Gab South - Dwaarsberg 132kV line</t>
  </si>
  <si>
    <t>Segoditshane – Dwaarsberg</t>
  </si>
  <si>
    <t>Segoditshane - Dwaarsberg 132kV line</t>
  </si>
  <si>
    <t>06:34</t>
  </si>
  <si>
    <t>11:20</t>
  </si>
  <si>
    <t>072/25</t>
  </si>
  <si>
    <t>Mogoditshane 132/11kV T4 HV CB 510</t>
  </si>
  <si>
    <t>12:30</t>
  </si>
  <si>
    <t>SCADA / A. Mangole</t>
  </si>
  <si>
    <t>No indications; Load loss</t>
  </si>
  <si>
    <t>Mogoditshane 132/11kV T4 LV CB 4HO</t>
  </si>
  <si>
    <t>074A/25</t>
  </si>
  <si>
    <t>Morupule B – Isang 400kV line</t>
  </si>
  <si>
    <t>Morupule B - Isang 400kV Line CB 1L5</t>
  </si>
  <si>
    <t>Trip, General trip, Zm trip</t>
  </si>
  <si>
    <t>Isang – Morupule B 400kV line</t>
  </si>
  <si>
    <t>Isang - Morupule B 400kV Line CB 4L5</t>
  </si>
  <si>
    <t>Carrier Aided trip, Permissive trip S/R</t>
  </si>
  <si>
    <t>075/25</t>
  </si>
  <si>
    <t>Kanye 132/11kV Tx 2 LV CB 2HO</t>
  </si>
  <si>
    <t>3Ph T + L/O</t>
  </si>
  <si>
    <t>074C/25</t>
  </si>
  <si>
    <t>Gabsouth – Spitskop 132kV line</t>
  </si>
  <si>
    <t>Spitskop – Gabsouth 132kV line</t>
  </si>
  <si>
    <t>Spitskop - Gabsouth 132kV Line CB (unspecified)</t>
  </si>
  <si>
    <t>076/25</t>
  </si>
  <si>
    <t>Main 1: 3ph trip, Carrier Aided trip, fault loop L3-N, distance to fault 34.3 km</t>
  </si>
  <si>
    <t>078/25</t>
  </si>
  <si>
    <t>Tsabong – Heuningflei 132kV line</t>
  </si>
  <si>
    <t>Tsabong - Heuningflei 132kV Line CB 105</t>
  </si>
  <si>
    <t>Trip, Zone 1, Ground</t>
  </si>
  <si>
    <t>077/25</t>
  </si>
  <si>
    <t>Gabsouth – Ramotswa 132kV line</t>
  </si>
  <si>
    <t>SCADA / K. Gaboitsiwe</t>
  </si>
  <si>
    <t>backup protection – E/F trip, master trip</t>
  </si>
  <si>
    <t>Ramotswa – Gabsouth 132kV line</t>
  </si>
  <si>
    <t>SCADA / K. Kaloso</t>
  </si>
  <si>
    <t>Ramotswa, 132kV Bus section</t>
  </si>
  <si>
    <t>Ramotswa 132kV Bus Section CB 120</t>
  </si>
  <si>
    <t>master trip, TCS 1 and 2, start, trip</t>
  </si>
  <si>
    <t>Tlokweng – Gabsouth 132kV line</t>
  </si>
  <si>
    <t>Tlokweng - Gabsouth 132kV Line CB 105</t>
  </si>
  <si>
    <t>SCADA / R. Galetshetse</t>
  </si>
  <si>
    <t>diff trip, instant E/F trip, O/C start, E/F start, DTTR, phase L1, L2</t>
  </si>
  <si>
    <t>Tlokweng, 132kV Bus Section</t>
  </si>
  <si>
    <t>Tlokweng 132kV Bus Section CB 120</t>
  </si>
  <si>
    <t>Gabsouth – Kgale View 132kV line</t>
  </si>
  <si>
    <t>Gabsouth - Kgale View 132kV Line CB 605</t>
  </si>
  <si>
    <t>Backup and O/C relay: E/F trip; Fault mag: IA=134A, IB=139A, IC=1810A, IN=1560A</t>
  </si>
  <si>
    <t>Government Enclave, 132/11kV T1</t>
  </si>
  <si>
    <t>Government Enclave 132/11kV T1 HV CB 180</t>
  </si>
  <si>
    <t>132 kV multiplication and E/F relay: E/F trip</t>
  </si>
  <si>
    <t>Government Enclave 132/11kV T1 LV CB 1HO</t>
  </si>
  <si>
    <t>079/25</t>
  </si>
  <si>
    <t>Blue phase Impedance trip</t>
  </si>
  <si>
    <t>Blue phase Impedance trip, Carrier Aided trip, Permissive trip S/R</t>
  </si>
  <si>
    <t>084/25</t>
  </si>
  <si>
    <t>F/Town West 132/11kV Tx 2A LV CB 2HOB</t>
  </si>
  <si>
    <t>LV OC &amp; EF Relay: Trip. LV master trip operated</t>
  </si>
  <si>
    <t>Francistown 220/11kV TX 1B HV CB H20</t>
  </si>
  <si>
    <t>SCADA / Chaiwilani</t>
  </si>
  <si>
    <t>F/town, 220/11kV TX 1B HV side</t>
  </si>
  <si>
    <t>Francistown 220/11kV TX 1B LV CB 1TOB</t>
  </si>
  <si>
    <t>SCADA / Magola</t>
  </si>
  <si>
    <t>F/town, 220/11kV TX 1B LV side; Ground to neutral, O/C trip</t>
  </si>
  <si>
    <t>Francistown 220/11kV TX 1A LV CB 1TOA</t>
  </si>
  <si>
    <t>F/town, 220/11kV TX 1A LV side; Backup protection trip</t>
  </si>
  <si>
    <t>Hydromet – Francistown 220kV line</t>
  </si>
  <si>
    <t>Hydromet - Francistown 220kV Line CB L25</t>
  </si>
  <si>
    <t>SCADA / Moreetsi</t>
  </si>
  <si>
    <t>Backup trip, O/C to ground</t>
  </si>
  <si>
    <t>Morupule A – Serule 220kV line</t>
  </si>
  <si>
    <t>Morupule A - Serule 220kV Line CB (unspecified)</t>
  </si>
  <si>
    <t>Main 1 trip, 21L trip, DTT, Zone 1 trip; Distance to fault: 79.56 km</t>
  </si>
  <si>
    <t>Serule – Morupule 220kV line</t>
  </si>
  <si>
    <t>Serule - Morupule 220kV Line CB (unspecified)</t>
  </si>
  <si>
    <t>3-phase trip + Lockout</t>
  </si>
  <si>
    <t>Lobatse – Mmakgodumo 132kV line</t>
  </si>
  <si>
    <t>Current Diff, White phase Impedance E/F; 3Ph trip + L/O</t>
  </si>
  <si>
    <t>Mmakgodumo – Lobatse 132kV line</t>
  </si>
  <si>
    <t>Motheo – Motheo Mine 132kV line</t>
  </si>
  <si>
    <t>Motheo - Motheo Mine 132kV Line CB 305</t>
  </si>
  <si>
    <t>SCADA / Kahona</t>
  </si>
  <si>
    <t>Red, White and Blue TCS operated</t>
  </si>
  <si>
    <t>Ghanzi – Motheo 132kV line</t>
  </si>
  <si>
    <t>Ghanzi - Motheo 132kV Line CB 205</t>
  </si>
  <si>
    <t>Main 1 protection trip L1, L2, L3. General trip</t>
  </si>
  <si>
    <t>080/25</t>
  </si>
  <si>
    <t>Main A &amp; B: trip, general trip, Z-trip; Fault loop L3-N; Distance to fault 126.71 km</t>
  </si>
  <si>
    <t>Main 1: 3ph trip, Carrier Aided trip, fault loop L3-N, distance to fault 58.81 km</t>
  </si>
  <si>
    <t>081/25</t>
  </si>
  <si>
    <t>85/25</t>
  </si>
  <si>
    <t>Gabsouth 132/11kV Tx 2 HV CB 310</t>
  </si>
  <si>
    <t>Main 1 and 2 DIFF trip operated, REF operated</t>
  </si>
  <si>
    <t>Gabsouth 132/11kV Tx 2 LV CB 2HO</t>
  </si>
  <si>
    <t>External B/UP trip operated, aster trip operated</t>
  </si>
  <si>
    <t>87/25</t>
  </si>
  <si>
    <t>Main A and B: Trip, General trip, ZM trip, Fault loop L1-N; Distance to fault 154.26 km</t>
  </si>
  <si>
    <t>Main 1: 3ph trip, Carrier aided trip, Fault loop L1-N, Distance to fault 42.77 km</t>
  </si>
  <si>
    <t>88/25</t>
  </si>
  <si>
    <t>Orapa 2 220/33kV T1 LV CB H08</t>
  </si>
  <si>
    <t>LoStage E/F operated; Letlhakane Village feeder OHL conductor broken</t>
  </si>
  <si>
    <t>Phokoje – Mmadinare 220kV line</t>
  </si>
  <si>
    <t>Phokoje - Mmadinare 220kV Line CB L25</t>
  </si>
  <si>
    <t>Serule – Phokoje 220kV line</t>
  </si>
  <si>
    <t>Serule - Phokoje 220kV Line CB L35</t>
  </si>
  <si>
    <t>091/25</t>
  </si>
  <si>
    <t>Gaphatshwa 132/11kV Transformer 4 LV CB 4HO</t>
  </si>
  <si>
    <t>Normal</t>
  </si>
  <si>
    <t>Over voltage, Master trip operated</t>
  </si>
  <si>
    <t>Gaphatshwa 132/11kV Transformer 3 LV CB 3HO</t>
  </si>
  <si>
    <t>092/25</t>
  </si>
  <si>
    <t>Mawana – Letlhakane 400kV line</t>
  </si>
  <si>
    <t>Mawana - Letlhakane 400kV Line CB 2L5</t>
  </si>
  <si>
    <t>Main 1: Phase A to Ground, Ground Impedance trip; 3ph trip + L/O</t>
  </si>
  <si>
    <t>Letlhakane – Mawana 400kV line</t>
  </si>
  <si>
    <t>Letlhakane - Mawana 400kV Line CB 1L5</t>
  </si>
  <si>
    <t>Main 1 &amp; 2: 3ph trip, Zone 1, SOTF, Carrier aided trip, AR Successful</t>
  </si>
  <si>
    <t>095/25</t>
  </si>
  <si>
    <t>Woodhall – Lobatse 132kV line</t>
  </si>
  <si>
    <t>B/U Protection Relay; Blue phase Impedance E/F; 3 ph T + L/O</t>
  </si>
  <si>
    <t>Jwaneng 132/33kV Transformer 9 LV CB 9HO</t>
  </si>
  <si>
    <t>Through fault from CSS Feeder 4L5 (failed to trip); restored after isolation</t>
  </si>
  <si>
    <t>096/25</t>
  </si>
  <si>
    <t>F/town – Dukwe 132kV line</t>
  </si>
  <si>
    <t>F/town - Dukwe 132kV Line CB 205</t>
  </si>
  <si>
    <t>Distance to fault 75.9km, Zone 1 trip, TRC, Zm1/2/3; Fault loop R-N; CRZ, CFZ</t>
  </si>
  <si>
    <t>96/25</t>
  </si>
  <si>
    <t>Main A &amp; B: Trip, General trip, ZM trip, Fault loop L1-N; Distance to fault 9.31 km</t>
  </si>
  <si>
    <t>Main 1: 3ph trip, Carrier aided trip, Fault loop L1-N, Distance to fault 134.35 km</t>
  </si>
  <si>
    <t>097/25</t>
  </si>
  <si>
    <t>Buszone trip; Mine Feeder 5 tripped on O/C, E/F</t>
  </si>
  <si>
    <t>098/25</t>
  </si>
  <si>
    <t>102/25</t>
  </si>
  <si>
    <t>Orapa – Orapa 2 220kV line</t>
  </si>
  <si>
    <t>Orapa - Orapa 2 220kV Line CB L15</t>
  </si>
  <si>
    <t>Trip, Zone 1, 50/51 (ph diff O/C); Pole discrepancy</t>
  </si>
  <si>
    <t>099/25</t>
  </si>
  <si>
    <t>Broadhurst 132/11kV TRF 1 LV CB 3H0</t>
  </si>
  <si>
    <t>Overcurrent trip; Zone 2 trip, underfrequency relay</t>
  </si>
  <si>
    <t>Broadhurst 132/11kV TRF 2 LV CB 4HO</t>
  </si>
  <si>
    <t xml:space="preserve">  11:51</t>
  </si>
  <si>
    <t>Underfrequency relay trip</t>
  </si>
  <si>
    <t>100/25</t>
  </si>
  <si>
    <t>Phokoje – Matimba 400kV line</t>
  </si>
  <si>
    <t>Blue phase Impedance E/F, Zone 1 Ext; Distance to fault 210 km</t>
  </si>
  <si>
    <t>Phokoje – Insukamini 400kV line</t>
  </si>
  <si>
    <t>DTTR/S, master trip</t>
  </si>
  <si>
    <t>Insukamini – Phokoje 400kV line</t>
  </si>
  <si>
    <t>Insukamini - Phokoje 400kV Line CB (unspecified)</t>
  </si>
  <si>
    <t>Mochudi</t>
  </si>
  <si>
    <t>Mochudi 132/33kV Transformer 1 LV CB 110</t>
  </si>
  <si>
    <t>SCADA / E. Ntoko</t>
  </si>
  <si>
    <t>Earth fault</t>
  </si>
  <si>
    <t>103/25</t>
  </si>
  <si>
    <t>Jwaneng 132/33kV Tx 9 LV CB 9HO</t>
  </si>
  <si>
    <t>Sunny</t>
  </si>
  <si>
    <t>Jwaneng 132/33kV Tx 8 LV CB 8HO</t>
  </si>
  <si>
    <t>SCADA / Mosarwe / Charles</t>
  </si>
  <si>
    <t>Buszone trip; baboons seen in substation, flash on 33kV busbar</t>
  </si>
  <si>
    <t>108/25</t>
  </si>
  <si>
    <t>Maun 132/11kV Transformer 1 LV CB 1T0</t>
  </si>
  <si>
    <t>Protection Trip, Current Relay operated</t>
  </si>
  <si>
    <t>Maun 11kV Bus Section CB 1S0</t>
  </si>
  <si>
    <t>Protection Trip</t>
  </si>
  <si>
    <t>107/25</t>
  </si>
  <si>
    <t>Main A &amp; B: Trip, General trip, ZM trip; Fault loop L2-N; Distance to fault 78.59 km</t>
  </si>
  <si>
    <t>Z1 Impedance Trip, Permissive Trip receive</t>
  </si>
  <si>
    <t>009/25</t>
  </si>
  <si>
    <t>Legotlhwane – Makoba 132kV line</t>
  </si>
  <si>
    <t>SCADA / K. Mosala</t>
  </si>
  <si>
    <t>3 ph Trip + L/O</t>
  </si>
  <si>
    <t>110/25</t>
  </si>
  <si>
    <t>Morupule A – Isang 220kV line</t>
  </si>
  <si>
    <t>Morupule A - Isang 220kV Line 2 CB L25</t>
  </si>
  <si>
    <t>Main 1: C/B fail, A-G trip, distance to fault 6.02 km; Main B: Z1 trip</t>
  </si>
  <si>
    <t>113/25</t>
  </si>
  <si>
    <t>Dukwe – Sua Pan 132kV line</t>
  </si>
  <si>
    <t>Dukwe - Sua Pan 132kV Line CB 305</t>
  </si>
  <si>
    <t>115/25</t>
  </si>
  <si>
    <t>Thamaga – Rakola 220kV line</t>
  </si>
  <si>
    <t>Thamaga - Rakola 220kV Line CB L45</t>
  </si>
  <si>
    <t>IMP PROTECTION START ZONE 1, LINE DIFF PROTECTION TRIP; 3ph trip + L/O</t>
  </si>
  <si>
    <t>116/25</t>
  </si>
  <si>
    <t>117/25</t>
  </si>
  <si>
    <t>Morupule A - Serule 220kV Line CB L55</t>
  </si>
  <si>
    <t>Main A: ABC trip, 21L, DTT, Zone 1; Main B: DTT, SOTF; Fault location 17.33 km</t>
  </si>
  <si>
    <t>Serule – Morupule A 220kV line</t>
  </si>
  <si>
    <t>Serule - Morupule A 220kV Line CB L65</t>
  </si>
  <si>
    <t>Main A: 3ph trip, Lockout relay 1 &amp; 2, DTT; Main B: 3ph trip, DTT, SOTF</t>
  </si>
  <si>
    <t>Phokoje – Serule 220kV line</t>
  </si>
  <si>
    <t>No indications; 3ph trip + L/O</t>
  </si>
  <si>
    <t>118/25</t>
  </si>
  <si>
    <t>VT Fuse fail, 3ph trip, Carrier aided trip; Distance to fault 50.1 km</t>
  </si>
  <si>
    <t>119/25</t>
  </si>
  <si>
    <t>123/25</t>
  </si>
  <si>
    <t>Phakalane 132/11kV Transformer 2 LV CB 2HOB</t>
  </si>
  <si>
    <t>Inter trip receive</t>
  </si>
  <si>
    <t>Phakalane 11kV Bussection CB 1SOB</t>
  </si>
  <si>
    <t>CB FAIL Right hand side</t>
  </si>
  <si>
    <t>124/25</t>
  </si>
  <si>
    <t>A&amp; B Trip, General trip, ZM trip; Distance to fault 81.15km, fault loop L2-N</t>
  </si>
  <si>
    <t>125/25</t>
  </si>
  <si>
    <t>Main A &amp; B: Trip, General trip, ZM trip; Distance to fault 148.63km, fault loop L2-N</t>
  </si>
  <si>
    <t>Main 1 &amp; 2: 3ph trip, Carrier aided trip; Fault loop L2-N</t>
  </si>
  <si>
    <t>126/25</t>
  </si>
  <si>
    <t>Main A &amp; B: Trip, General trip, ZM trip; Distance to fault 86.0km, fault loop L3-N</t>
  </si>
  <si>
    <t>Main 1 &amp; 2: 3ph trip, Carrier aided trip; Fault loop L3-N</t>
  </si>
  <si>
    <t>127/25</t>
  </si>
  <si>
    <t>Main A &amp; B: Trip, General trip, ZM trip; Distance to fault 148.63km, fault loop L3-N</t>
  </si>
  <si>
    <t>128/25</t>
  </si>
  <si>
    <t>Molepolole 132/33kV T1 HV CB 110</t>
  </si>
  <si>
    <t>Kgame/Galetshetse</t>
  </si>
  <si>
    <t>Phases B &amp; C to ground</t>
  </si>
  <si>
    <t>Molepolole 132/33kV T1 LV CB H10</t>
  </si>
  <si>
    <t>LV Directional E/F Trip</t>
  </si>
  <si>
    <t>03:41</t>
  </si>
  <si>
    <t>03:17</t>
  </si>
  <si>
    <t>06:22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</si>
</sst>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9">
    <xf numFmtId="0" fontId="0" fillId="0" borderId="0" xfId="0"/>
    <xf numFmtId="0" fontId="0" fillId="0" borderId="10" xfId="0" applyBorder="1"/>
    <xf numFmtId="14" fontId="0" fillId="0" borderId="10" xfId="0" applyNumberFormat="1" applyBorder="1"/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20" fontId="0" fillId="0" borderId="10" xfId="0" quotePrefix="1" applyNumberFormat="1" applyBorder="1" applyAlignment="1">
      <alignment horizontal="right"/>
    </xf>
    <xf numFmtId="14" fontId="0" fillId="0" borderId="10" xfId="0" applyNumberFormat="1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/>
    <xf numFmtId="20" fontId="0" fillId="0" borderId="10" xfId="0" applyNumberFormat="1" applyBorder="1" applyAlignment="1">
      <alignment horizontal="right"/>
    </xf>
    <xf numFmtId="20" fontId="0" fillId="0" borderId="10" xfId="0" quotePrefix="1" applyNumberFormat="1" applyBorder="1" applyAlignment="1"/>
    <xf numFmtId="20" fontId="0" fillId="0" borderId="10" xfId="0" applyNumberFormat="1" applyBorder="1" applyAlignment="1"/>
    <xf numFmtId="0" fontId="0" fillId="0" borderId="10" xfId="0" applyBorder="1" applyAlignment="1"/>
    <xf numFmtId="0" fontId="0" fillId="0" borderId="12" xfId="0" applyBorder="1" applyAlignment="1"/>
    <xf numFmtId="22" fontId="0" fillId="0" borderId="10" xfId="0" applyNumberFormat="1" applyBorder="1" applyAlignment="1">
      <alignment horizontal="right"/>
    </xf>
    <xf numFmtId="0" fontId="0" fillId="0" borderId="12" xfId="0" applyBorder="1" applyAlignment="1">
      <alignment horizontal="right"/>
    </xf>
    <xf numFmtId="20" fontId="0" fillId="0" borderId="12" xfId="0" quotePrefix="1" applyNumberFormat="1" applyBorder="1" applyAlignment="1">
      <alignment horizontal="right"/>
    </xf>
    <xf numFmtId="0" fontId="0" fillId="0" borderId="10" xfId="0" quotePrefix="1" applyBorder="1" applyAlignment="1">
      <alignment horizontal="right"/>
    </xf>
    <xf numFmtId="2" fontId="0" fillId="0" borderId="10" xfId="0" applyNumberForma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49"/>
  <sheetViews>
    <sheetView tabSelected="1" topLeftCell="A614" zoomScale="80" zoomScaleNormal="80" zoomScaleSheetLayoutView="50" workbookViewId="0">
      <selection activeCell="A200" sqref="A200:XFD200"/>
    </sheetView>
  </sheetViews>
  <sheetFormatPr defaultRowHeight="14.4" x14ac:dyDescent="0.3"/>
  <cols>
    <col min="1" max="1" width="12.5546875" customWidth="1"/>
    <col min="2" max="2" width="11.109375" customWidth="1"/>
    <col min="4" max="4" width="16.44140625" customWidth="1"/>
    <col min="5" max="5" width="44" bestFit="1" customWidth="1"/>
    <col min="6" max="6" width="17.6640625" customWidth="1"/>
    <col min="7" max="7" width="19.5546875" customWidth="1"/>
    <col min="8" max="8" width="13.6640625" customWidth="1"/>
    <col min="9" max="9" width="16.109375" customWidth="1"/>
    <col min="10" max="10" width="10.109375" customWidth="1"/>
    <col min="11" max="11" width="10.33203125" customWidth="1"/>
    <col min="12" max="12" width="21" bestFit="1" customWidth="1"/>
    <col min="13" max="13" width="70.33203125" customWidth="1"/>
    <col min="14" max="14" width="13.5546875" customWidth="1"/>
    <col min="16" max="16" width="12.88671875" customWidth="1"/>
  </cols>
  <sheetData>
    <row r="1" spans="1:16" x14ac:dyDescent="0.3">
      <c r="A1" s="1" t="s">
        <v>0</v>
      </c>
      <c r="B1" s="1" t="s">
        <v>220</v>
      </c>
      <c r="C1" s="1" t="s">
        <v>1</v>
      </c>
      <c r="D1" s="1" t="s">
        <v>2</v>
      </c>
      <c r="E1" s="1" t="s">
        <v>3</v>
      </c>
      <c r="F1" s="1" t="s">
        <v>852</v>
      </c>
      <c r="G1" s="1" t="s">
        <v>231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4" t="s">
        <v>9</v>
      </c>
      <c r="N1" s="1" t="s">
        <v>10</v>
      </c>
      <c r="O1" s="1" t="s">
        <v>11</v>
      </c>
      <c r="P1" s="1" t="s">
        <v>205</v>
      </c>
    </row>
    <row r="2" spans="1:16" x14ac:dyDescent="0.3">
      <c r="A2" s="2">
        <v>45078</v>
      </c>
      <c r="B2" s="5" t="s">
        <v>207</v>
      </c>
      <c r="C2" s="1" t="s">
        <v>25</v>
      </c>
      <c r="D2" s="1" t="s">
        <v>26</v>
      </c>
      <c r="E2" s="1" t="s">
        <v>234</v>
      </c>
      <c r="F2" s="1">
        <v>33</v>
      </c>
      <c r="G2" s="1" t="str">
        <f t="shared" ref="G2:G64" si="0">IF(F2&gt;=132,"Transmission",IF(F2&gt;=66,"Sub-Transmission","Distribution"))</f>
        <v>Distribution</v>
      </c>
      <c r="H2" s="1" t="s">
        <v>14</v>
      </c>
      <c r="I2" s="1" t="s">
        <v>15</v>
      </c>
      <c r="J2" s="5" t="s">
        <v>221</v>
      </c>
      <c r="K2" s="1">
        <v>0.7</v>
      </c>
      <c r="L2" s="1" t="s">
        <v>27</v>
      </c>
      <c r="M2" s="3" t="s">
        <v>28</v>
      </c>
      <c r="N2" s="1" t="s">
        <v>18</v>
      </c>
      <c r="O2" s="1" t="str">
        <f t="shared" ref="O2:O33" si="1">IF(K2&lt;=0.083,"Low",IF(K2&lt;= 0.5,"Medium",IF(K2&gt;0.5,"High")))</f>
        <v>High</v>
      </c>
      <c r="P2" s="1" t="str">
        <f t="shared" ref="P2:P64" si="2">IF(O2="Low","Transient",IF(O2="Medium","Sustained",IF(O2="High","Permanent")))</f>
        <v>Permanent</v>
      </c>
    </row>
    <row r="3" spans="1:16" x14ac:dyDescent="0.3">
      <c r="A3" s="2">
        <v>45078</v>
      </c>
      <c r="B3" s="11">
        <v>0.6479166666666667</v>
      </c>
      <c r="C3" s="1" t="s">
        <v>29</v>
      </c>
      <c r="D3" s="1" t="s">
        <v>30</v>
      </c>
      <c r="E3" s="1" t="s">
        <v>236</v>
      </c>
      <c r="F3" s="1">
        <v>33</v>
      </c>
      <c r="G3" s="1" t="str">
        <f t="shared" si="0"/>
        <v>Distribution</v>
      </c>
      <c r="H3" s="1" t="s">
        <v>21</v>
      </c>
      <c r="I3" s="1" t="s">
        <v>31</v>
      </c>
      <c r="J3" s="11">
        <v>0.6875</v>
      </c>
      <c r="K3" s="1">
        <v>0.95</v>
      </c>
      <c r="L3" s="1" t="s">
        <v>33</v>
      </c>
      <c r="M3" s="3" t="s">
        <v>34</v>
      </c>
      <c r="N3" s="1" t="s">
        <v>18</v>
      </c>
      <c r="O3" s="1" t="str">
        <f t="shared" si="1"/>
        <v>High</v>
      </c>
      <c r="P3" s="1" t="str">
        <f t="shared" si="2"/>
        <v>Permanent</v>
      </c>
    </row>
    <row r="4" spans="1:16" x14ac:dyDescent="0.3">
      <c r="A4" s="2">
        <v>45108</v>
      </c>
      <c r="B4" s="11">
        <v>0.4826388888888889</v>
      </c>
      <c r="C4" s="1" t="s">
        <v>39</v>
      </c>
      <c r="D4" s="1" t="s">
        <v>40</v>
      </c>
      <c r="E4" s="1" t="s">
        <v>238</v>
      </c>
      <c r="F4" s="1">
        <v>11</v>
      </c>
      <c r="G4" s="1" t="str">
        <f t="shared" si="0"/>
        <v>Distribution</v>
      </c>
      <c r="H4" s="1" t="s">
        <v>21</v>
      </c>
      <c r="I4" s="1" t="s">
        <v>15</v>
      </c>
      <c r="J4" s="11">
        <v>0.8305555555555556</v>
      </c>
      <c r="K4" s="1">
        <v>8.35</v>
      </c>
      <c r="L4" s="1" t="s">
        <v>17</v>
      </c>
      <c r="M4" s="3" t="s">
        <v>239</v>
      </c>
      <c r="N4" s="1" t="s">
        <v>18</v>
      </c>
      <c r="O4" s="1" t="str">
        <f t="shared" si="1"/>
        <v>High</v>
      </c>
      <c r="P4" s="1" t="str">
        <f t="shared" si="2"/>
        <v>Permanent</v>
      </c>
    </row>
    <row r="5" spans="1:16" x14ac:dyDescent="0.3">
      <c r="A5" s="7" t="s">
        <v>58</v>
      </c>
      <c r="B5" s="11">
        <v>0.78194444444444444</v>
      </c>
      <c r="C5" s="1" t="s">
        <v>62</v>
      </c>
      <c r="D5" s="1" t="s">
        <v>63</v>
      </c>
      <c r="E5" s="1" t="s">
        <v>243</v>
      </c>
      <c r="F5" s="1">
        <v>11</v>
      </c>
      <c r="G5" s="1" t="str">
        <f t="shared" si="0"/>
        <v>Distribution</v>
      </c>
      <c r="H5" s="1" t="s">
        <v>47</v>
      </c>
      <c r="I5" s="1" t="s">
        <v>64</v>
      </c>
      <c r="J5" s="11">
        <v>0.9784722222222223</v>
      </c>
      <c r="K5" s="1">
        <v>4.7169999999999996</v>
      </c>
      <c r="L5" s="1" t="s">
        <v>65</v>
      </c>
      <c r="M5" s="1"/>
      <c r="N5" s="1" t="s">
        <v>18</v>
      </c>
      <c r="O5" s="1" t="str">
        <f t="shared" si="1"/>
        <v>High</v>
      </c>
      <c r="P5" s="1" t="str">
        <f t="shared" si="2"/>
        <v>Permanent</v>
      </c>
    </row>
    <row r="6" spans="1:16" x14ac:dyDescent="0.3">
      <c r="A6" s="7" t="s">
        <v>72</v>
      </c>
      <c r="B6" s="11">
        <v>0.94305555555555554</v>
      </c>
      <c r="C6" s="1" t="s">
        <v>73</v>
      </c>
      <c r="D6" s="1" t="s">
        <v>30</v>
      </c>
      <c r="E6" s="1" t="s">
        <v>246</v>
      </c>
      <c r="F6" s="1">
        <v>33</v>
      </c>
      <c r="G6" s="1" t="str">
        <f t="shared" si="0"/>
        <v>Distribution</v>
      </c>
      <c r="H6" s="1" t="s">
        <v>47</v>
      </c>
      <c r="I6" s="1" t="s">
        <v>31</v>
      </c>
      <c r="J6" s="11">
        <v>0.97569444444444453</v>
      </c>
      <c r="K6" s="1">
        <v>0.85</v>
      </c>
      <c r="L6" s="1" t="s">
        <v>75</v>
      </c>
      <c r="M6" s="3" t="s">
        <v>305</v>
      </c>
      <c r="N6" s="1" t="s">
        <v>18</v>
      </c>
      <c r="O6" s="1" t="str">
        <f t="shared" si="1"/>
        <v>High</v>
      </c>
      <c r="P6" s="1" t="str">
        <f t="shared" si="2"/>
        <v>Permanent</v>
      </c>
    </row>
    <row r="7" spans="1:16" x14ac:dyDescent="0.3">
      <c r="A7" s="6">
        <v>45171</v>
      </c>
      <c r="B7" s="11">
        <v>0.66180555555555554</v>
      </c>
      <c r="C7" s="1" t="s">
        <v>102</v>
      </c>
      <c r="D7" s="1" t="s">
        <v>30</v>
      </c>
      <c r="E7" s="1" t="s">
        <v>103</v>
      </c>
      <c r="F7" s="1">
        <v>11</v>
      </c>
      <c r="G7" s="1" t="str">
        <f t="shared" si="0"/>
        <v>Distribution</v>
      </c>
      <c r="H7" s="1" t="s">
        <v>21</v>
      </c>
      <c r="I7" s="1" t="s">
        <v>15</v>
      </c>
      <c r="J7" s="11">
        <v>0.69791666666666663</v>
      </c>
      <c r="K7" s="1">
        <v>1.2</v>
      </c>
      <c r="L7" s="1" t="s">
        <v>104</v>
      </c>
      <c r="M7" s="1" t="s">
        <v>105</v>
      </c>
      <c r="N7" s="1" t="s">
        <v>92</v>
      </c>
      <c r="O7" s="1" t="str">
        <f t="shared" si="1"/>
        <v>High</v>
      </c>
      <c r="P7" s="1" t="str">
        <f t="shared" si="2"/>
        <v>Permanent</v>
      </c>
    </row>
    <row r="8" spans="1:16" x14ac:dyDescent="0.3">
      <c r="A8" s="6" t="s">
        <v>130</v>
      </c>
      <c r="B8" s="11">
        <v>0.97986111111111107</v>
      </c>
      <c r="C8" s="1" t="s">
        <v>131</v>
      </c>
      <c r="D8" s="1" t="s">
        <v>132</v>
      </c>
      <c r="E8" s="1" t="s">
        <v>258</v>
      </c>
      <c r="F8" s="1">
        <v>11</v>
      </c>
      <c r="G8" s="1" t="str">
        <f t="shared" si="0"/>
        <v>Distribution</v>
      </c>
      <c r="H8" s="1" t="s">
        <v>21</v>
      </c>
      <c r="I8" s="1" t="s">
        <v>64</v>
      </c>
      <c r="J8" s="5" t="s">
        <v>214</v>
      </c>
      <c r="K8" s="1">
        <v>0.81699999999999995</v>
      </c>
      <c r="L8" s="1" t="s">
        <v>133</v>
      </c>
      <c r="M8" s="1" t="s">
        <v>134</v>
      </c>
      <c r="N8" s="1" t="s">
        <v>92</v>
      </c>
      <c r="O8" s="1" t="str">
        <f t="shared" si="1"/>
        <v>High</v>
      </c>
      <c r="P8" s="1" t="str">
        <f t="shared" si="2"/>
        <v>Permanent</v>
      </c>
    </row>
    <row r="9" spans="1:16" x14ac:dyDescent="0.3">
      <c r="A9" s="7" t="s">
        <v>135</v>
      </c>
      <c r="B9" s="5" t="s">
        <v>216</v>
      </c>
      <c r="C9" s="1" t="s">
        <v>136</v>
      </c>
      <c r="D9" s="1" t="s">
        <v>132</v>
      </c>
      <c r="E9" s="1" t="s">
        <v>258</v>
      </c>
      <c r="F9" s="1">
        <v>11</v>
      </c>
      <c r="G9" s="1" t="str">
        <f t="shared" si="0"/>
        <v>Distribution</v>
      </c>
      <c r="H9" s="1" t="s">
        <v>21</v>
      </c>
      <c r="I9" s="1" t="s">
        <v>64</v>
      </c>
      <c r="J9" s="5" t="s">
        <v>228</v>
      </c>
      <c r="K9" s="1">
        <v>1.4</v>
      </c>
      <c r="L9" s="1" t="s">
        <v>133</v>
      </c>
      <c r="M9" s="1" t="s">
        <v>203</v>
      </c>
      <c r="N9" s="1" t="s">
        <v>92</v>
      </c>
      <c r="O9" s="1" t="str">
        <f t="shared" si="1"/>
        <v>High</v>
      </c>
      <c r="P9" s="1" t="str">
        <f t="shared" si="2"/>
        <v>Permanent</v>
      </c>
    </row>
    <row r="10" spans="1:16" x14ac:dyDescent="0.3">
      <c r="A10" s="7" t="s">
        <v>163</v>
      </c>
      <c r="B10" s="11">
        <v>0.57777777777777783</v>
      </c>
      <c r="C10" s="1" t="s">
        <v>164</v>
      </c>
      <c r="D10" s="1" t="s">
        <v>165</v>
      </c>
      <c r="E10" s="1" t="s">
        <v>262</v>
      </c>
      <c r="F10" s="1">
        <v>11</v>
      </c>
      <c r="G10" s="1" t="str">
        <f t="shared" si="0"/>
        <v>Distribution</v>
      </c>
      <c r="H10" s="1" t="s">
        <v>47</v>
      </c>
      <c r="I10" s="1" t="s">
        <v>31</v>
      </c>
      <c r="J10" s="11">
        <v>0.60833333333333328</v>
      </c>
      <c r="K10" s="1">
        <v>0.73</v>
      </c>
      <c r="L10" s="1" t="s">
        <v>166</v>
      </c>
      <c r="M10" s="1" t="s">
        <v>167</v>
      </c>
      <c r="N10" s="1" t="s">
        <v>156</v>
      </c>
      <c r="O10" s="1" t="str">
        <f t="shared" si="1"/>
        <v>High</v>
      </c>
      <c r="P10" s="1" t="str">
        <f t="shared" si="2"/>
        <v>Permanent</v>
      </c>
    </row>
    <row r="11" spans="1:16" ht="13.95" customHeight="1" x14ac:dyDescent="0.3">
      <c r="A11" s="7" t="s">
        <v>170</v>
      </c>
      <c r="B11" s="11">
        <v>0.74444444444444446</v>
      </c>
      <c r="C11" s="1" t="s">
        <v>175</v>
      </c>
      <c r="D11" s="1" t="s">
        <v>176</v>
      </c>
      <c r="E11" s="1" t="s">
        <v>265</v>
      </c>
      <c r="F11" s="1">
        <v>11</v>
      </c>
      <c r="G11" s="1" t="str">
        <f t="shared" si="0"/>
        <v>Distribution</v>
      </c>
      <c r="H11" s="1" t="s">
        <v>14</v>
      </c>
      <c r="I11" s="1" t="s">
        <v>15</v>
      </c>
      <c r="J11" s="11">
        <v>0.77777777777777779</v>
      </c>
      <c r="K11" s="1">
        <v>0.8</v>
      </c>
      <c r="L11" s="1" t="s">
        <v>177</v>
      </c>
      <c r="M11" s="1" t="s">
        <v>178</v>
      </c>
      <c r="N11" s="1" t="s">
        <v>156</v>
      </c>
      <c r="O11" s="1" t="str">
        <f t="shared" si="1"/>
        <v>High</v>
      </c>
      <c r="P11" s="1" t="str">
        <f t="shared" si="2"/>
        <v>Permanent</v>
      </c>
    </row>
    <row r="12" spans="1:16" x14ac:dyDescent="0.3">
      <c r="A12" s="7" t="s">
        <v>190</v>
      </c>
      <c r="B12" s="5" t="s">
        <v>218</v>
      </c>
      <c r="C12" s="1" t="s">
        <v>191</v>
      </c>
      <c r="D12" s="1" t="s">
        <v>63</v>
      </c>
      <c r="E12" s="1" t="s">
        <v>269</v>
      </c>
      <c r="F12" s="1">
        <v>33</v>
      </c>
      <c r="G12" s="1" t="str">
        <f t="shared" si="0"/>
        <v>Distribution</v>
      </c>
      <c r="H12" s="1" t="s">
        <v>14</v>
      </c>
      <c r="I12" s="1" t="s">
        <v>64</v>
      </c>
      <c r="J12" s="12" t="s">
        <v>16</v>
      </c>
      <c r="K12" s="1">
        <v>0</v>
      </c>
      <c r="L12" s="1" t="s">
        <v>17</v>
      </c>
      <c r="M12" s="1" t="s">
        <v>204</v>
      </c>
      <c r="N12" s="1" t="s">
        <v>156</v>
      </c>
      <c r="O12" s="1" t="str">
        <f t="shared" si="1"/>
        <v>Low</v>
      </c>
      <c r="P12" s="1" t="str">
        <f t="shared" si="2"/>
        <v>Transient</v>
      </c>
    </row>
    <row r="13" spans="1:16" x14ac:dyDescent="0.3">
      <c r="A13" s="7" t="s">
        <v>273</v>
      </c>
      <c r="B13" s="11">
        <v>0.14305555555555557</v>
      </c>
      <c r="C13" s="1" t="s">
        <v>274</v>
      </c>
      <c r="D13" s="1" t="s">
        <v>275</v>
      </c>
      <c r="E13" s="1" t="s">
        <v>276</v>
      </c>
      <c r="F13" s="7">
        <v>11</v>
      </c>
      <c r="G13" s="1" t="str">
        <f t="shared" si="0"/>
        <v>Distribution</v>
      </c>
      <c r="H13" s="1" t="s">
        <v>14</v>
      </c>
      <c r="I13" s="1" t="s">
        <v>15</v>
      </c>
      <c r="J13" s="11">
        <v>0.23750000000000002</v>
      </c>
      <c r="K13" s="1">
        <v>1.27</v>
      </c>
      <c r="L13" s="1" t="s">
        <v>114</v>
      </c>
      <c r="M13" s="1" t="s">
        <v>277</v>
      </c>
      <c r="N13" s="1" t="s">
        <v>278</v>
      </c>
      <c r="O13" s="1" t="str">
        <f t="shared" si="1"/>
        <v>High</v>
      </c>
      <c r="P13" s="1" t="str">
        <f t="shared" si="2"/>
        <v>Permanent</v>
      </c>
    </row>
    <row r="14" spans="1:16" x14ac:dyDescent="0.3">
      <c r="A14" s="7" t="s">
        <v>273</v>
      </c>
      <c r="B14" s="11">
        <v>0.14305555555555557</v>
      </c>
      <c r="C14" s="1" t="s">
        <v>274</v>
      </c>
      <c r="D14" s="1" t="s">
        <v>275</v>
      </c>
      <c r="E14" s="1" t="s">
        <v>279</v>
      </c>
      <c r="F14" s="7">
        <v>11</v>
      </c>
      <c r="G14" s="1" t="str">
        <f t="shared" si="0"/>
        <v>Distribution</v>
      </c>
      <c r="H14" s="1" t="s">
        <v>14</v>
      </c>
      <c r="I14" s="1" t="s">
        <v>15</v>
      </c>
      <c r="J14" s="11">
        <v>0.23750000000000002</v>
      </c>
      <c r="K14" s="1">
        <v>1.27</v>
      </c>
      <c r="L14" s="1" t="s">
        <v>114</v>
      </c>
      <c r="M14" s="1" t="s">
        <v>277</v>
      </c>
      <c r="N14" s="1" t="s">
        <v>278</v>
      </c>
      <c r="O14" s="1" t="str">
        <f t="shared" si="1"/>
        <v>High</v>
      </c>
      <c r="P14" s="1" t="str">
        <f t="shared" si="2"/>
        <v>Permanent</v>
      </c>
    </row>
    <row r="15" spans="1:16" x14ac:dyDescent="0.3">
      <c r="A15" s="7" t="s">
        <v>273</v>
      </c>
      <c r="B15" s="11">
        <v>0.31597222222222221</v>
      </c>
      <c r="C15" s="1" t="s">
        <v>280</v>
      </c>
      <c r="D15" s="1" t="s">
        <v>275</v>
      </c>
      <c r="E15" s="1" t="s">
        <v>276</v>
      </c>
      <c r="F15" s="7">
        <v>11</v>
      </c>
      <c r="G15" s="1" t="str">
        <f t="shared" si="0"/>
        <v>Distribution</v>
      </c>
      <c r="H15" s="1" t="s">
        <v>14</v>
      </c>
      <c r="I15" s="1" t="s">
        <v>15</v>
      </c>
      <c r="J15" s="11">
        <v>0.34652777777777777</v>
      </c>
      <c r="K15" s="1">
        <v>0.73</v>
      </c>
      <c r="L15" s="1" t="s">
        <v>114</v>
      </c>
      <c r="M15" s="1" t="s">
        <v>281</v>
      </c>
      <c r="N15" s="1" t="s">
        <v>278</v>
      </c>
      <c r="O15" s="1" t="str">
        <f t="shared" si="1"/>
        <v>High</v>
      </c>
      <c r="P15" s="1" t="str">
        <f t="shared" si="2"/>
        <v>Permanent</v>
      </c>
    </row>
    <row r="16" spans="1:16" x14ac:dyDescent="0.3">
      <c r="A16" s="7" t="s">
        <v>273</v>
      </c>
      <c r="B16" s="11">
        <v>0.31597222222222221</v>
      </c>
      <c r="C16" s="1" t="s">
        <v>280</v>
      </c>
      <c r="D16" s="1" t="s">
        <v>275</v>
      </c>
      <c r="E16" s="1" t="s">
        <v>279</v>
      </c>
      <c r="F16" s="7">
        <v>11</v>
      </c>
      <c r="G16" s="1" t="str">
        <f t="shared" si="0"/>
        <v>Distribution</v>
      </c>
      <c r="H16" s="1" t="s">
        <v>14</v>
      </c>
      <c r="I16" s="1" t="s">
        <v>15</v>
      </c>
      <c r="J16" s="11">
        <v>0.34652777777777777</v>
      </c>
      <c r="K16" s="1">
        <v>0.73</v>
      </c>
      <c r="L16" s="1" t="s">
        <v>114</v>
      </c>
      <c r="M16" s="1" t="s">
        <v>281</v>
      </c>
      <c r="N16" s="1" t="s">
        <v>278</v>
      </c>
      <c r="O16" s="1" t="str">
        <f t="shared" si="1"/>
        <v>High</v>
      </c>
      <c r="P16" s="1" t="str">
        <f t="shared" si="2"/>
        <v>Permanent</v>
      </c>
    </row>
    <row r="17" spans="1:16" x14ac:dyDescent="0.3">
      <c r="A17" s="2">
        <v>45111</v>
      </c>
      <c r="B17" s="11">
        <v>0.33819444444444446</v>
      </c>
      <c r="C17" s="1" t="s">
        <v>180</v>
      </c>
      <c r="D17" s="1" t="s">
        <v>299</v>
      </c>
      <c r="E17" s="1" t="s">
        <v>300</v>
      </c>
      <c r="F17" s="7">
        <v>11</v>
      </c>
      <c r="G17" s="1" t="str">
        <f t="shared" si="0"/>
        <v>Distribution</v>
      </c>
      <c r="H17" s="1" t="s">
        <v>14</v>
      </c>
      <c r="I17" s="1" t="s">
        <v>15</v>
      </c>
      <c r="J17" s="11">
        <v>0.37638888888888888</v>
      </c>
      <c r="K17" s="1">
        <v>0.95</v>
      </c>
      <c r="L17" s="1" t="s">
        <v>301</v>
      </c>
      <c r="M17" s="1"/>
      <c r="N17" s="1" t="s">
        <v>278</v>
      </c>
      <c r="O17" s="1" t="str">
        <f t="shared" si="1"/>
        <v>High</v>
      </c>
      <c r="P17" s="1" t="str">
        <f t="shared" si="2"/>
        <v>Permanent</v>
      </c>
    </row>
    <row r="18" spans="1:16" x14ac:dyDescent="0.3">
      <c r="A18" s="2">
        <v>45111</v>
      </c>
      <c r="B18" s="11">
        <v>0.33819444444444446</v>
      </c>
      <c r="C18" s="1" t="s">
        <v>180</v>
      </c>
      <c r="D18" s="1" t="s">
        <v>299</v>
      </c>
      <c r="E18" s="1" t="s">
        <v>302</v>
      </c>
      <c r="F18" s="7">
        <v>11</v>
      </c>
      <c r="G18" s="1" t="str">
        <f t="shared" si="0"/>
        <v>Distribution</v>
      </c>
      <c r="H18" s="1" t="s">
        <v>14</v>
      </c>
      <c r="I18" s="1" t="s">
        <v>15</v>
      </c>
      <c r="J18" s="11">
        <v>0.375</v>
      </c>
      <c r="K18" s="1">
        <v>0.92</v>
      </c>
      <c r="L18" s="1" t="s">
        <v>17</v>
      </c>
      <c r="M18" s="1"/>
      <c r="N18" s="1" t="s">
        <v>278</v>
      </c>
      <c r="O18" s="1" t="str">
        <f t="shared" si="1"/>
        <v>High</v>
      </c>
      <c r="P18" s="1" t="str">
        <f t="shared" si="2"/>
        <v>Permanent</v>
      </c>
    </row>
    <row r="19" spans="1:16" ht="13.95" customHeight="1" x14ac:dyDescent="0.3">
      <c r="A19" s="2">
        <v>45111</v>
      </c>
      <c r="B19" s="11">
        <v>0.33819444444444446</v>
      </c>
      <c r="C19" s="1" t="s">
        <v>180</v>
      </c>
      <c r="D19" s="1" t="s">
        <v>303</v>
      </c>
      <c r="E19" s="1" t="s">
        <v>304</v>
      </c>
      <c r="F19" s="7">
        <v>33</v>
      </c>
      <c r="G19" s="1" t="str">
        <f t="shared" si="0"/>
        <v>Distribution</v>
      </c>
      <c r="H19" s="1" t="s">
        <v>14</v>
      </c>
      <c r="I19" s="1" t="s">
        <v>15</v>
      </c>
      <c r="J19" s="11">
        <v>0.3756944444444445</v>
      </c>
      <c r="K19" s="1">
        <v>0.93</v>
      </c>
      <c r="L19" s="1" t="s">
        <v>17</v>
      </c>
      <c r="M19" s="1"/>
      <c r="N19" s="1" t="s">
        <v>278</v>
      </c>
      <c r="O19" s="1" t="str">
        <f t="shared" si="1"/>
        <v>High</v>
      </c>
      <c r="P19" s="1" t="str">
        <f t="shared" si="2"/>
        <v>Permanent</v>
      </c>
    </row>
    <row r="20" spans="1:16" x14ac:dyDescent="0.3">
      <c r="A20" s="2">
        <v>45111</v>
      </c>
      <c r="B20" s="11">
        <v>0.33819444444444446</v>
      </c>
      <c r="C20" s="1" t="s">
        <v>180</v>
      </c>
      <c r="D20" s="1" t="s">
        <v>303</v>
      </c>
      <c r="E20" s="1" t="s">
        <v>306</v>
      </c>
      <c r="F20" s="7">
        <v>33</v>
      </c>
      <c r="G20" s="1" t="str">
        <f t="shared" si="0"/>
        <v>Distribution</v>
      </c>
      <c r="H20" s="1" t="s">
        <v>14</v>
      </c>
      <c r="I20" s="1" t="s">
        <v>15</v>
      </c>
      <c r="J20" s="11">
        <v>0.3756944444444445</v>
      </c>
      <c r="K20" s="1">
        <v>0.93</v>
      </c>
      <c r="L20" s="1" t="s">
        <v>17</v>
      </c>
      <c r="M20" s="1"/>
      <c r="N20" s="1" t="s">
        <v>278</v>
      </c>
      <c r="O20" s="1" t="str">
        <f t="shared" si="1"/>
        <v>High</v>
      </c>
      <c r="P20" s="1" t="str">
        <f t="shared" si="2"/>
        <v>Permanent</v>
      </c>
    </row>
    <row r="21" spans="1:16" x14ac:dyDescent="0.3">
      <c r="A21" s="2">
        <v>45234</v>
      </c>
      <c r="B21" s="11">
        <v>0.13680555555555554</v>
      </c>
      <c r="C21" s="1" t="s">
        <v>326</v>
      </c>
      <c r="D21" s="1" t="s">
        <v>311</v>
      </c>
      <c r="E21" s="1" t="s">
        <v>327</v>
      </c>
      <c r="F21" s="7">
        <v>12</v>
      </c>
      <c r="G21" s="1" t="str">
        <f t="shared" si="0"/>
        <v>Distribution</v>
      </c>
      <c r="H21" s="1" t="s">
        <v>47</v>
      </c>
      <c r="I21" s="1" t="s">
        <v>15</v>
      </c>
      <c r="J21" s="11">
        <v>0.45208333333333334</v>
      </c>
      <c r="K21" s="1">
        <v>7.57</v>
      </c>
      <c r="L21" s="1" t="s">
        <v>328</v>
      </c>
      <c r="M21" s="1" t="s">
        <v>329</v>
      </c>
      <c r="N21" s="1" t="s">
        <v>278</v>
      </c>
      <c r="O21" s="1" t="str">
        <f t="shared" si="1"/>
        <v>High</v>
      </c>
      <c r="P21" s="1" t="str">
        <f t="shared" si="2"/>
        <v>Permanent</v>
      </c>
    </row>
    <row r="22" spans="1:16" x14ac:dyDescent="0.3">
      <c r="A22" s="7" t="s">
        <v>357</v>
      </c>
      <c r="B22" s="11">
        <v>0.72152777777777777</v>
      </c>
      <c r="C22" s="1" t="s">
        <v>358</v>
      </c>
      <c r="D22" s="1" t="s">
        <v>26</v>
      </c>
      <c r="E22" s="1" t="s">
        <v>359</v>
      </c>
      <c r="F22" s="7">
        <v>33</v>
      </c>
      <c r="G22" s="1" t="str">
        <f t="shared" si="0"/>
        <v>Distribution</v>
      </c>
      <c r="H22" s="1" t="s">
        <v>14</v>
      </c>
      <c r="I22" s="1" t="s">
        <v>15</v>
      </c>
      <c r="J22" s="11">
        <v>0.75138888888888899</v>
      </c>
      <c r="K22" s="1">
        <v>0.72</v>
      </c>
      <c r="L22" s="1" t="s">
        <v>360</v>
      </c>
      <c r="M22" s="1" t="s">
        <v>361</v>
      </c>
      <c r="N22" s="1" t="s">
        <v>278</v>
      </c>
      <c r="O22" s="1" t="str">
        <f t="shared" si="1"/>
        <v>High</v>
      </c>
      <c r="P22" s="1" t="str">
        <f t="shared" si="2"/>
        <v>Permanent</v>
      </c>
    </row>
    <row r="23" spans="1:16" x14ac:dyDescent="0.3">
      <c r="A23" s="7" t="s">
        <v>357</v>
      </c>
      <c r="B23" s="11">
        <v>0.72152777777777777</v>
      </c>
      <c r="C23" s="1" t="s">
        <v>358</v>
      </c>
      <c r="D23" s="1" t="s">
        <v>26</v>
      </c>
      <c r="E23" s="1" t="s">
        <v>362</v>
      </c>
      <c r="F23" s="7">
        <v>33</v>
      </c>
      <c r="G23" s="1" t="str">
        <f t="shared" si="0"/>
        <v>Distribution</v>
      </c>
      <c r="H23" s="1" t="s">
        <v>14</v>
      </c>
      <c r="I23" s="1" t="s">
        <v>15</v>
      </c>
      <c r="J23" s="11">
        <v>0.75138888888888899</v>
      </c>
      <c r="K23" s="1">
        <v>0.72</v>
      </c>
      <c r="L23" s="1" t="s">
        <v>360</v>
      </c>
      <c r="M23" s="1" t="s">
        <v>361</v>
      </c>
      <c r="N23" s="1" t="s">
        <v>278</v>
      </c>
      <c r="O23" s="1" t="str">
        <f t="shared" si="1"/>
        <v>High</v>
      </c>
      <c r="P23" s="1" t="str">
        <f t="shared" si="2"/>
        <v>Permanent</v>
      </c>
    </row>
    <row r="24" spans="1:16" x14ac:dyDescent="0.3">
      <c r="A24" s="2">
        <v>45051</v>
      </c>
      <c r="B24" s="11">
        <v>0.63541666666666663</v>
      </c>
      <c r="C24" s="1" t="s">
        <v>363</v>
      </c>
      <c r="D24" s="1" t="s">
        <v>368</v>
      </c>
      <c r="E24" s="1" t="s">
        <v>369</v>
      </c>
      <c r="F24" s="1">
        <v>11</v>
      </c>
      <c r="G24" s="1" t="str">
        <f t="shared" si="0"/>
        <v>Distribution</v>
      </c>
      <c r="H24" s="1" t="s">
        <v>14</v>
      </c>
      <c r="I24" s="1" t="s">
        <v>15</v>
      </c>
      <c r="J24" s="11">
        <v>0.71180555555555547</v>
      </c>
      <c r="K24" s="1">
        <v>1.83</v>
      </c>
      <c r="L24" s="1" t="s">
        <v>335</v>
      </c>
      <c r="M24" s="1" t="s">
        <v>370</v>
      </c>
      <c r="N24" s="1" t="s">
        <v>367</v>
      </c>
      <c r="O24" s="1" t="str">
        <f t="shared" si="1"/>
        <v>High</v>
      </c>
      <c r="P24" s="1" t="str">
        <f t="shared" si="2"/>
        <v>Permanent</v>
      </c>
    </row>
    <row r="25" spans="1:16" x14ac:dyDescent="0.3">
      <c r="A25" s="2">
        <v>45051</v>
      </c>
      <c r="B25" s="11">
        <v>0.63541666666666663</v>
      </c>
      <c r="C25" s="1" t="s">
        <v>363</v>
      </c>
      <c r="D25" s="1" t="s">
        <v>303</v>
      </c>
      <c r="E25" s="1" t="s">
        <v>371</v>
      </c>
      <c r="F25" s="1">
        <v>11</v>
      </c>
      <c r="G25" s="1" t="str">
        <f t="shared" si="0"/>
        <v>Distribution</v>
      </c>
      <c r="H25" s="1" t="s">
        <v>14</v>
      </c>
      <c r="I25" s="1" t="s">
        <v>15</v>
      </c>
      <c r="J25" s="11">
        <v>0.71388888888888891</v>
      </c>
      <c r="K25" s="1">
        <v>1.88</v>
      </c>
      <c r="L25" s="1" t="s">
        <v>17</v>
      </c>
      <c r="M25" s="1" t="s">
        <v>372</v>
      </c>
      <c r="N25" s="1" t="s">
        <v>367</v>
      </c>
      <c r="O25" s="1" t="str">
        <f t="shared" si="1"/>
        <v>High</v>
      </c>
      <c r="P25" s="1" t="str">
        <f t="shared" si="2"/>
        <v>Permanent</v>
      </c>
    </row>
    <row r="26" spans="1:16" x14ac:dyDescent="0.3">
      <c r="A26" s="2">
        <v>45051</v>
      </c>
      <c r="B26" s="11">
        <v>0.63541666666666663</v>
      </c>
      <c r="C26" s="1" t="s">
        <v>363</v>
      </c>
      <c r="D26" s="1" t="s">
        <v>303</v>
      </c>
      <c r="E26" s="1" t="s">
        <v>373</v>
      </c>
      <c r="F26" s="1">
        <v>11</v>
      </c>
      <c r="G26" s="1" t="str">
        <f t="shared" si="0"/>
        <v>Distribution</v>
      </c>
      <c r="H26" s="1" t="s">
        <v>14</v>
      </c>
      <c r="I26" s="1" t="s">
        <v>15</v>
      </c>
      <c r="J26" s="11">
        <v>0.71736111111111101</v>
      </c>
      <c r="K26" s="1">
        <v>1.97</v>
      </c>
      <c r="L26" s="1" t="s">
        <v>17</v>
      </c>
      <c r="M26" s="1" t="s">
        <v>374</v>
      </c>
      <c r="N26" s="1" t="s">
        <v>367</v>
      </c>
      <c r="O26" s="1" t="str">
        <f t="shared" si="1"/>
        <v>High</v>
      </c>
      <c r="P26" s="1" t="str">
        <f t="shared" si="2"/>
        <v>Permanent</v>
      </c>
    </row>
    <row r="27" spans="1:16" x14ac:dyDescent="0.3">
      <c r="A27" s="2">
        <v>45051</v>
      </c>
      <c r="B27" s="11">
        <v>0.63541666666666663</v>
      </c>
      <c r="C27" s="1" t="s">
        <v>363</v>
      </c>
      <c r="D27" s="1" t="s">
        <v>303</v>
      </c>
      <c r="E27" s="1" t="s">
        <v>375</v>
      </c>
      <c r="F27" s="1">
        <v>11</v>
      </c>
      <c r="G27" s="1" t="str">
        <f t="shared" si="0"/>
        <v>Distribution</v>
      </c>
      <c r="H27" s="1" t="s">
        <v>14</v>
      </c>
      <c r="I27" s="1" t="s">
        <v>15</v>
      </c>
      <c r="J27" s="11">
        <v>0.71388888888888891</v>
      </c>
      <c r="K27" s="1">
        <v>1.88</v>
      </c>
      <c r="L27" s="1" t="s">
        <v>17</v>
      </c>
      <c r="M27" s="1" t="s">
        <v>372</v>
      </c>
      <c r="N27" s="1" t="s">
        <v>367</v>
      </c>
      <c r="O27" s="1" t="str">
        <f t="shared" si="1"/>
        <v>High</v>
      </c>
      <c r="P27" s="1" t="str">
        <f t="shared" si="2"/>
        <v>Permanent</v>
      </c>
    </row>
    <row r="28" spans="1:16" x14ac:dyDescent="0.3">
      <c r="A28" s="2">
        <v>45051</v>
      </c>
      <c r="B28" s="11">
        <v>0.63541666666666663</v>
      </c>
      <c r="C28" s="1" t="s">
        <v>363</v>
      </c>
      <c r="D28" s="1" t="s">
        <v>303</v>
      </c>
      <c r="E28" s="1" t="s">
        <v>376</v>
      </c>
      <c r="F28" s="1">
        <v>11</v>
      </c>
      <c r="G28" s="1" t="str">
        <f t="shared" si="0"/>
        <v>Distribution</v>
      </c>
      <c r="H28" s="1" t="s">
        <v>14</v>
      </c>
      <c r="I28" s="1" t="s">
        <v>15</v>
      </c>
      <c r="J28" s="11">
        <v>0.71736111111111101</v>
      </c>
      <c r="K28" s="1">
        <v>1.97</v>
      </c>
      <c r="L28" s="1" t="s">
        <v>17</v>
      </c>
      <c r="M28" s="1" t="s">
        <v>374</v>
      </c>
      <c r="N28" s="1" t="s">
        <v>367</v>
      </c>
      <c r="O28" s="1" t="str">
        <f t="shared" si="1"/>
        <v>High</v>
      </c>
      <c r="P28" s="1" t="str">
        <f t="shared" si="2"/>
        <v>Permanent</v>
      </c>
    </row>
    <row r="29" spans="1:16" x14ac:dyDescent="0.3">
      <c r="A29" s="2">
        <v>45143</v>
      </c>
      <c r="B29" s="11">
        <v>1.1111111111111112E-2</v>
      </c>
      <c r="C29" s="1" t="s">
        <v>383</v>
      </c>
      <c r="D29" s="1" t="s">
        <v>391</v>
      </c>
      <c r="E29" s="1" t="s">
        <v>394</v>
      </c>
      <c r="F29" s="1">
        <v>11</v>
      </c>
      <c r="G29" s="1" t="str">
        <f t="shared" si="0"/>
        <v>Distribution</v>
      </c>
      <c r="H29" s="1" t="s">
        <v>385</v>
      </c>
      <c r="I29" s="1" t="s">
        <v>15</v>
      </c>
      <c r="J29" s="11">
        <v>0.22361111111111109</v>
      </c>
      <c r="K29" s="1">
        <v>5.0999999999999996</v>
      </c>
      <c r="L29" s="1" t="s">
        <v>17</v>
      </c>
      <c r="M29" s="1" t="s">
        <v>395</v>
      </c>
      <c r="N29" s="1" t="s">
        <v>367</v>
      </c>
      <c r="O29" s="1" t="str">
        <f t="shared" si="1"/>
        <v>High</v>
      </c>
      <c r="P29" s="1" t="str">
        <f t="shared" si="2"/>
        <v>Permanent</v>
      </c>
    </row>
    <row r="30" spans="1:16" x14ac:dyDescent="0.3">
      <c r="A30" s="2">
        <v>45143</v>
      </c>
      <c r="B30" s="11">
        <v>9.0277777777777787E-3</v>
      </c>
      <c r="C30" s="1" t="s">
        <v>383</v>
      </c>
      <c r="D30" s="1" t="s">
        <v>30</v>
      </c>
      <c r="E30" s="1" t="s">
        <v>399</v>
      </c>
      <c r="F30" s="1">
        <v>33</v>
      </c>
      <c r="G30" s="1" t="str">
        <f t="shared" si="0"/>
        <v>Distribution</v>
      </c>
      <c r="H30" s="1" t="s">
        <v>385</v>
      </c>
      <c r="I30" s="1" t="s">
        <v>15</v>
      </c>
      <c r="J30" s="11">
        <v>0.23680555555555557</v>
      </c>
      <c r="K30" s="1">
        <v>5.47</v>
      </c>
      <c r="L30" s="1" t="s">
        <v>17</v>
      </c>
      <c r="M30" s="1" t="s">
        <v>395</v>
      </c>
      <c r="N30" s="1" t="s">
        <v>367</v>
      </c>
      <c r="O30" s="1" t="str">
        <f t="shared" si="1"/>
        <v>High</v>
      </c>
      <c r="P30" s="1" t="str">
        <f t="shared" si="2"/>
        <v>Permanent</v>
      </c>
    </row>
    <row r="31" spans="1:16" x14ac:dyDescent="0.3">
      <c r="A31" s="7" t="s">
        <v>411</v>
      </c>
      <c r="B31" s="11">
        <v>0.21805555555555556</v>
      </c>
      <c r="C31" s="1" t="s">
        <v>412</v>
      </c>
      <c r="D31" s="1" t="s">
        <v>413</v>
      </c>
      <c r="E31" s="1" t="s">
        <v>414</v>
      </c>
      <c r="F31" s="1">
        <v>11</v>
      </c>
      <c r="G31" s="1" t="str">
        <f t="shared" si="0"/>
        <v>Distribution</v>
      </c>
      <c r="H31" s="1" t="s">
        <v>14</v>
      </c>
      <c r="I31" s="1" t="s">
        <v>64</v>
      </c>
      <c r="J31" s="11">
        <v>0.62708333333333333</v>
      </c>
      <c r="K31" s="1">
        <v>9.82</v>
      </c>
      <c r="L31" s="1" t="s">
        <v>415</v>
      </c>
      <c r="M31" s="1" t="s">
        <v>416</v>
      </c>
      <c r="N31" s="1" t="s">
        <v>367</v>
      </c>
      <c r="O31" s="1" t="str">
        <f t="shared" si="1"/>
        <v>High</v>
      </c>
      <c r="P31" s="1" t="str">
        <f t="shared" si="2"/>
        <v>Permanent</v>
      </c>
    </row>
    <row r="32" spans="1:16" x14ac:dyDescent="0.3">
      <c r="A32" s="7" t="s">
        <v>411</v>
      </c>
      <c r="B32" s="11">
        <v>0.21805555555555556</v>
      </c>
      <c r="C32" s="1" t="s">
        <v>412</v>
      </c>
      <c r="D32" s="1" t="s">
        <v>413</v>
      </c>
      <c r="E32" s="1" t="s">
        <v>417</v>
      </c>
      <c r="F32" s="1">
        <v>11</v>
      </c>
      <c r="G32" s="1" t="str">
        <f t="shared" si="0"/>
        <v>Distribution</v>
      </c>
      <c r="H32" s="1" t="s">
        <v>14</v>
      </c>
      <c r="I32" s="1" t="s">
        <v>64</v>
      </c>
      <c r="J32" s="11">
        <v>0.62708333333333333</v>
      </c>
      <c r="K32" s="1">
        <v>9.82</v>
      </c>
      <c r="L32" s="1" t="s">
        <v>415</v>
      </c>
      <c r="M32" s="1" t="s">
        <v>418</v>
      </c>
      <c r="N32" s="1" t="s">
        <v>367</v>
      </c>
      <c r="O32" s="1" t="str">
        <f t="shared" si="1"/>
        <v>High</v>
      </c>
      <c r="P32" s="1" t="str">
        <f t="shared" si="2"/>
        <v>Permanent</v>
      </c>
    </row>
    <row r="33" spans="1:16" x14ac:dyDescent="0.3">
      <c r="A33" s="2">
        <v>44963</v>
      </c>
      <c r="B33" s="11">
        <v>0.45</v>
      </c>
      <c r="C33" s="1" t="s">
        <v>419</v>
      </c>
      <c r="D33" s="1" t="s">
        <v>420</v>
      </c>
      <c r="E33" s="1" t="s">
        <v>421</v>
      </c>
      <c r="F33" s="7">
        <v>11</v>
      </c>
      <c r="G33" s="1" t="str">
        <f t="shared" si="0"/>
        <v>Distribution</v>
      </c>
      <c r="H33" s="1" t="s">
        <v>21</v>
      </c>
      <c r="I33" s="1" t="s">
        <v>15</v>
      </c>
      <c r="J33" s="11">
        <v>0.47569444444444442</v>
      </c>
      <c r="K33" s="1">
        <v>0.62</v>
      </c>
      <c r="L33" s="1" t="s">
        <v>422</v>
      </c>
      <c r="M33" s="1" t="s">
        <v>423</v>
      </c>
      <c r="N33" s="1" t="s">
        <v>424</v>
      </c>
      <c r="O33" s="1" t="str">
        <f t="shared" si="1"/>
        <v>High</v>
      </c>
      <c r="P33" s="1" t="str">
        <f t="shared" si="2"/>
        <v>Permanent</v>
      </c>
    </row>
    <row r="34" spans="1:16" x14ac:dyDescent="0.3">
      <c r="A34" s="2">
        <v>44963</v>
      </c>
      <c r="B34" s="11">
        <v>0.45</v>
      </c>
      <c r="C34" s="1" t="s">
        <v>419</v>
      </c>
      <c r="D34" s="1" t="s">
        <v>420</v>
      </c>
      <c r="E34" s="1" t="s">
        <v>426</v>
      </c>
      <c r="F34" s="7">
        <v>11</v>
      </c>
      <c r="G34" s="1" t="str">
        <f t="shared" si="0"/>
        <v>Distribution</v>
      </c>
      <c r="H34" s="1" t="s">
        <v>21</v>
      </c>
      <c r="I34" s="1" t="s">
        <v>15</v>
      </c>
      <c r="J34" s="11">
        <v>0.47569444444444442</v>
      </c>
      <c r="K34" s="1">
        <v>0.62</v>
      </c>
      <c r="L34" s="1" t="s">
        <v>422</v>
      </c>
      <c r="M34" s="1" t="s">
        <v>425</v>
      </c>
      <c r="N34" s="1" t="s">
        <v>424</v>
      </c>
      <c r="O34" s="1" t="str">
        <f t="shared" ref="O34:O57" si="3">IF(K34&lt;=0.083,"Low",IF(K34&lt;= 0.5,"Medium",IF(K34&gt;0.5,"High")))</f>
        <v>High</v>
      </c>
      <c r="P34" s="1" t="str">
        <f t="shared" si="2"/>
        <v>Permanent</v>
      </c>
    </row>
    <row r="35" spans="1:16" x14ac:dyDescent="0.3">
      <c r="A35" s="7" t="s">
        <v>447</v>
      </c>
      <c r="B35" s="11">
        <v>0.63750000000000007</v>
      </c>
      <c r="C35" s="1" t="s">
        <v>448</v>
      </c>
      <c r="D35" s="1" t="s">
        <v>86</v>
      </c>
      <c r="E35" s="1" t="s">
        <v>449</v>
      </c>
      <c r="F35" s="7">
        <v>33</v>
      </c>
      <c r="G35" s="1" t="str">
        <f t="shared" si="0"/>
        <v>Distribution</v>
      </c>
      <c r="H35" s="1" t="s">
        <v>87</v>
      </c>
      <c r="I35" s="1" t="s">
        <v>15</v>
      </c>
      <c r="J35" s="11">
        <v>0.65277777777777779</v>
      </c>
      <c r="K35" s="1">
        <v>0.37</v>
      </c>
      <c r="L35" s="1" t="s">
        <v>450</v>
      </c>
      <c r="M35" s="1" t="s">
        <v>451</v>
      </c>
      <c r="N35" s="1" t="s">
        <v>424</v>
      </c>
      <c r="O35" s="1" t="str">
        <f t="shared" si="3"/>
        <v>Medium</v>
      </c>
      <c r="P35" s="1" t="str">
        <f t="shared" si="2"/>
        <v>Sustained</v>
      </c>
    </row>
    <row r="36" spans="1:16" x14ac:dyDescent="0.3">
      <c r="A36" s="7" t="s">
        <v>447</v>
      </c>
      <c r="B36" s="11">
        <v>0.63750000000000007</v>
      </c>
      <c r="C36" s="1" t="s">
        <v>448</v>
      </c>
      <c r="D36" s="1" t="s">
        <v>86</v>
      </c>
      <c r="E36" s="1" t="s">
        <v>452</v>
      </c>
      <c r="F36" s="7">
        <v>33</v>
      </c>
      <c r="G36" s="1" t="str">
        <f t="shared" si="0"/>
        <v>Distribution</v>
      </c>
      <c r="H36" s="1" t="s">
        <v>87</v>
      </c>
      <c r="I36" s="1" t="s">
        <v>15</v>
      </c>
      <c r="J36" s="11">
        <v>0.65277777777777779</v>
      </c>
      <c r="K36" s="1">
        <v>0.37</v>
      </c>
      <c r="L36" s="1" t="s">
        <v>450</v>
      </c>
      <c r="M36" s="1" t="s">
        <v>453</v>
      </c>
      <c r="N36" s="1" t="s">
        <v>424</v>
      </c>
      <c r="O36" s="1" t="str">
        <f t="shared" si="3"/>
        <v>Medium</v>
      </c>
      <c r="P36" s="1" t="str">
        <f t="shared" si="2"/>
        <v>Sustained</v>
      </c>
    </row>
    <row r="37" spans="1:16" x14ac:dyDescent="0.3">
      <c r="A37" s="7" t="s">
        <v>465</v>
      </c>
      <c r="B37" s="11">
        <v>0.10277777777777779</v>
      </c>
      <c r="C37" s="1" t="s">
        <v>466</v>
      </c>
      <c r="D37" s="1" t="s">
        <v>90</v>
      </c>
      <c r="E37" s="1" t="s">
        <v>473</v>
      </c>
      <c r="F37" s="7">
        <v>11</v>
      </c>
      <c r="G37" s="1" t="str">
        <f t="shared" si="0"/>
        <v>Distribution</v>
      </c>
      <c r="H37" s="1" t="s">
        <v>87</v>
      </c>
      <c r="I37" s="1" t="s">
        <v>15</v>
      </c>
      <c r="J37" s="11">
        <v>0.17152777777777775</v>
      </c>
      <c r="K37" s="1">
        <v>1.65</v>
      </c>
      <c r="L37" s="1" t="s">
        <v>469</v>
      </c>
      <c r="M37" s="1" t="s">
        <v>474</v>
      </c>
      <c r="N37" s="1" t="s">
        <v>424</v>
      </c>
      <c r="O37" s="1" t="str">
        <f t="shared" si="3"/>
        <v>High</v>
      </c>
      <c r="P37" s="1" t="str">
        <f t="shared" si="2"/>
        <v>Permanent</v>
      </c>
    </row>
    <row r="38" spans="1:16" x14ac:dyDescent="0.3">
      <c r="A38" s="7" t="s">
        <v>504</v>
      </c>
      <c r="B38" s="7" t="s">
        <v>506</v>
      </c>
      <c r="C38" s="1" t="s">
        <v>507</v>
      </c>
      <c r="D38" s="1" t="s">
        <v>52</v>
      </c>
      <c r="E38" s="1" t="s">
        <v>508</v>
      </c>
      <c r="F38" s="1">
        <v>11</v>
      </c>
      <c r="G38" s="1" t="str">
        <f t="shared" si="0"/>
        <v>Distribution</v>
      </c>
      <c r="H38" s="1" t="s">
        <v>47</v>
      </c>
      <c r="I38" s="1" t="s">
        <v>15</v>
      </c>
      <c r="J38" s="7" t="s">
        <v>497</v>
      </c>
      <c r="K38" s="1">
        <v>0</v>
      </c>
      <c r="L38" s="1" t="s">
        <v>17</v>
      </c>
      <c r="M38" s="1" t="s">
        <v>509</v>
      </c>
      <c r="N38" s="1" t="s">
        <v>505</v>
      </c>
      <c r="O38" s="1" t="str">
        <f t="shared" si="3"/>
        <v>Low</v>
      </c>
      <c r="P38" s="1" t="str">
        <f t="shared" si="2"/>
        <v>Transient</v>
      </c>
    </row>
    <row r="39" spans="1:16" x14ac:dyDescent="0.3">
      <c r="A39" s="7" t="s">
        <v>571</v>
      </c>
      <c r="B39" s="7" t="s">
        <v>572</v>
      </c>
      <c r="C39" s="1" t="s">
        <v>573</v>
      </c>
      <c r="D39" s="1" t="s">
        <v>574</v>
      </c>
      <c r="E39" s="1" t="s">
        <v>575</v>
      </c>
      <c r="F39" s="7">
        <v>11</v>
      </c>
      <c r="G39" s="1" t="str">
        <f t="shared" si="0"/>
        <v>Distribution</v>
      </c>
      <c r="H39" s="1" t="s">
        <v>14</v>
      </c>
      <c r="I39" s="1" t="s">
        <v>15</v>
      </c>
      <c r="J39" s="7" t="s">
        <v>597</v>
      </c>
      <c r="K39" s="1">
        <v>2.97</v>
      </c>
      <c r="L39" s="1" t="s">
        <v>576</v>
      </c>
      <c r="M39" s="1" t="s">
        <v>577</v>
      </c>
      <c r="N39" s="1" t="s">
        <v>515</v>
      </c>
      <c r="O39" s="1" t="str">
        <f t="shared" si="3"/>
        <v>High</v>
      </c>
      <c r="P39" s="1" t="str">
        <f t="shared" si="2"/>
        <v>Permanent</v>
      </c>
    </row>
    <row r="40" spans="1:16" x14ac:dyDescent="0.3">
      <c r="A40" s="7" t="s">
        <v>571</v>
      </c>
      <c r="B40" s="9">
        <v>0.8930555555555556</v>
      </c>
      <c r="C40" s="1" t="s">
        <v>573</v>
      </c>
      <c r="D40" s="1" t="s">
        <v>574</v>
      </c>
      <c r="E40" s="1" t="s">
        <v>578</v>
      </c>
      <c r="F40" s="7">
        <v>11</v>
      </c>
      <c r="G40" s="1" t="str">
        <f t="shared" si="0"/>
        <v>Distribution</v>
      </c>
      <c r="H40" s="1" t="s">
        <v>14</v>
      </c>
      <c r="I40" s="1" t="s">
        <v>15</v>
      </c>
      <c r="J40" s="7" t="s">
        <v>598</v>
      </c>
      <c r="K40" s="1">
        <v>1.62</v>
      </c>
      <c r="L40" s="1" t="s">
        <v>579</v>
      </c>
      <c r="M40" s="1" t="s">
        <v>577</v>
      </c>
      <c r="N40" s="1" t="s">
        <v>515</v>
      </c>
      <c r="O40" s="1" t="str">
        <f t="shared" si="3"/>
        <v>High</v>
      </c>
      <c r="P40" s="1" t="str">
        <f t="shared" si="2"/>
        <v>Permanent</v>
      </c>
    </row>
    <row r="41" spans="1:16" x14ac:dyDescent="0.3">
      <c r="A41" s="7" t="s">
        <v>571</v>
      </c>
      <c r="B41" s="9">
        <v>0.8930555555555556</v>
      </c>
      <c r="C41" s="1" t="s">
        <v>573</v>
      </c>
      <c r="D41" s="1" t="s">
        <v>574</v>
      </c>
      <c r="E41" s="1" t="s">
        <v>580</v>
      </c>
      <c r="F41" s="7">
        <v>11</v>
      </c>
      <c r="G41" s="1" t="str">
        <f t="shared" si="0"/>
        <v>Distribution</v>
      </c>
      <c r="H41" s="1" t="s">
        <v>14</v>
      </c>
      <c r="I41" s="1" t="s">
        <v>15</v>
      </c>
      <c r="J41" s="7" t="s">
        <v>597</v>
      </c>
      <c r="K41" s="1">
        <v>2.97</v>
      </c>
      <c r="L41" s="1" t="s">
        <v>579</v>
      </c>
      <c r="M41" s="1" t="s">
        <v>577</v>
      </c>
      <c r="N41" s="1" t="s">
        <v>515</v>
      </c>
      <c r="O41" s="1" t="str">
        <f t="shared" si="3"/>
        <v>High</v>
      </c>
      <c r="P41" s="1" t="str">
        <f t="shared" si="2"/>
        <v>Permanent</v>
      </c>
    </row>
    <row r="42" spans="1:16" x14ac:dyDescent="0.3">
      <c r="A42" s="7" t="s">
        <v>581</v>
      </c>
      <c r="B42" s="7" t="s">
        <v>582</v>
      </c>
      <c r="C42" s="1" t="s">
        <v>583</v>
      </c>
      <c r="D42" s="1" t="s">
        <v>291</v>
      </c>
      <c r="E42" s="1" t="s">
        <v>584</v>
      </c>
      <c r="F42" s="7">
        <v>11</v>
      </c>
      <c r="G42" s="1" t="str">
        <f t="shared" si="0"/>
        <v>Distribution</v>
      </c>
      <c r="H42" s="1" t="s">
        <v>21</v>
      </c>
      <c r="I42" s="1" t="s">
        <v>15</v>
      </c>
      <c r="J42" s="7"/>
      <c r="K42" s="1">
        <v>0</v>
      </c>
      <c r="L42" s="1" t="s">
        <v>585</v>
      </c>
      <c r="M42" s="1" t="s">
        <v>586</v>
      </c>
      <c r="N42" s="1" t="s">
        <v>515</v>
      </c>
      <c r="O42" s="1" t="str">
        <f t="shared" si="3"/>
        <v>Low</v>
      </c>
      <c r="P42" s="1" t="str">
        <f t="shared" si="2"/>
        <v>Transient</v>
      </c>
    </row>
    <row r="43" spans="1:16" x14ac:dyDescent="0.3">
      <c r="A43" s="7" t="s">
        <v>587</v>
      </c>
      <c r="B43" s="7" t="s">
        <v>588</v>
      </c>
      <c r="C43" s="1" t="s">
        <v>589</v>
      </c>
      <c r="D43" s="1" t="s">
        <v>340</v>
      </c>
      <c r="E43" s="1" t="s">
        <v>590</v>
      </c>
      <c r="F43" s="7">
        <v>11</v>
      </c>
      <c r="G43" s="1" t="str">
        <f t="shared" si="0"/>
        <v>Distribution</v>
      </c>
      <c r="H43" s="1" t="s">
        <v>14</v>
      </c>
      <c r="I43" s="1" t="s">
        <v>15</v>
      </c>
      <c r="J43" s="7" t="s">
        <v>591</v>
      </c>
      <c r="K43" s="1">
        <v>0.08</v>
      </c>
      <c r="L43" s="1" t="s">
        <v>592</v>
      </c>
      <c r="M43" s="1" t="s">
        <v>593</v>
      </c>
      <c r="N43" s="1" t="s">
        <v>515</v>
      </c>
      <c r="O43" s="1" t="str">
        <f t="shared" si="3"/>
        <v>Low</v>
      </c>
      <c r="P43" s="1" t="str">
        <f t="shared" si="2"/>
        <v>Transient</v>
      </c>
    </row>
    <row r="44" spans="1:16" x14ac:dyDescent="0.3">
      <c r="A44" s="7" t="s">
        <v>605</v>
      </c>
      <c r="B44" s="9">
        <v>0.52569444444444446</v>
      </c>
      <c r="C44" s="1" t="s">
        <v>608</v>
      </c>
      <c r="D44" s="1" t="s">
        <v>299</v>
      </c>
      <c r="E44" s="1" t="s">
        <v>300</v>
      </c>
      <c r="F44" s="1">
        <v>11</v>
      </c>
      <c r="G44" s="1" t="str">
        <f t="shared" si="0"/>
        <v>Distribution</v>
      </c>
      <c r="H44" s="1" t="s">
        <v>14</v>
      </c>
      <c r="I44" s="1" t="s">
        <v>15</v>
      </c>
      <c r="J44" s="7" t="s">
        <v>610</v>
      </c>
      <c r="K44" s="1">
        <v>0.63</v>
      </c>
      <c r="L44" s="1" t="s">
        <v>301</v>
      </c>
      <c r="M44" s="1" t="s">
        <v>611</v>
      </c>
      <c r="N44" s="1" t="s">
        <v>604</v>
      </c>
      <c r="O44" s="1" t="str">
        <f t="shared" si="3"/>
        <v>High</v>
      </c>
      <c r="P44" s="1" t="str">
        <f t="shared" si="2"/>
        <v>Permanent</v>
      </c>
    </row>
    <row r="45" spans="1:16" x14ac:dyDescent="0.3">
      <c r="A45" s="7" t="s">
        <v>721</v>
      </c>
      <c r="B45" s="12"/>
      <c r="C45" s="1" t="s">
        <v>723</v>
      </c>
      <c r="D45" s="1" t="s">
        <v>724</v>
      </c>
      <c r="E45" s="1" t="s">
        <v>728</v>
      </c>
      <c r="F45" s="1">
        <v>11</v>
      </c>
      <c r="G45" s="1" t="str">
        <f t="shared" si="0"/>
        <v>Distribution</v>
      </c>
      <c r="H45" s="1" t="s">
        <v>14</v>
      </c>
      <c r="I45" s="1" t="s">
        <v>15</v>
      </c>
      <c r="J45" s="7" t="s">
        <v>729</v>
      </c>
      <c r="K45" s="1">
        <v>1.95</v>
      </c>
      <c r="L45" s="1" t="s">
        <v>301</v>
      </c>
      <c r="M45" s="1" t="s">
        <v>642</v>
      </c>
      <c r="N45" s="1" t="s">
        <v>695</v>
      </c>
      <c r="O45" s="1" t="str">
        <f t="shared" si="3"/>
        <v>High</v>
      </c>
      <c r="P45" s="1" t="str">
        <f t="shared" si="2"/>
        <v>Permanent</v>
      </c>
    </row>
    <row r="46" spans="1:16" x14ac:dyDescent="0.3">
      <c r="A46" s="7" t="s">
        <v>721</v>
      </c>
      <c r="B46" s="12"/>
      <c r="C46" s="1" t="s">
        <v>723</v>
      </c>
      <c r="D46" s="1" t="s">
        <v>724</v>
      </c>
      <c r="E46" s="1" t="s">
        <v>730</v>
      </c>
      <c r="F46" s="1">
        <v>11</v>
      </c>
      <c r="G46" s="1" t="str">
        <f t="shared" si="0"/>
        <v>Distribution</v>
      </c>
      <c r="H46" s="1" t="s">
        <v>14</v>
      </c>
      <c r="I46" s="1" t="s">
        <v>15</v>
      </c>
      <c r="J46" s="7" t="s">
        <v>731</v>
      </c>
      <c r="K46" s="1">
        <v>2.1800000000000002</v>
      </c>
      <c r="L46" s="1" t="s">
        <v>301</v>
      </c>
      <c r="M46" s="1" t="s">
        <v>732</v>
      </c>
      <c r="N46" s="1" t="s">
        <v>695</v>
      </c>
      <c r="O46" s="1" t="str">
        <f t="shared" si="3"/>
        <v>High</v>
      </c>
      <c r="P46" s="1" t="str">
        <f t="shared" si="2"/>
        <v>Permanent</v>
      </c>
    </row>
    <row r="47" spans="1:16" x14ac:dyDescent="0.3">
      <c r="A47" s="7" t="s">
        <v>733</v>
      </c>
      <c r="B47" s="12"/>
      <c r="C47" s="1" t="s">
        <v>735</v>
      </c>
      <c r="D47" s="1" t="s">
        <v>724</v>
      </c>
      <c r="E47" s="1" t="s">
        <v>739</v>
      </c>
      <c r="F47" s="1">
        <v>11</v>
      </c>
      <c r="G47" s="1" t="str">
        <f t="shared" si="0"/>
        <v>Distribution</v>
      </c>
      <c r="H47" s="1" t="s">
        <v>14</v>
      </c>
      <c r="I47" s="1" t="s">
        <v>15</v>
      </c>
      <c r="J47" s="7" t="s">
        <v>740</v>
      </c>
      <c r="K47" s="1">
        <v>2.27</v>
      </c>
      <c r="L47" s="1" t="s">
        <v>301</v>
      </c>
      <c r="M47" s="1" t="s">
        <v>741</v>
      </c>
      <c r="N47" s="1" t="s">
        <v>695</v>
      </c>
      <c r="O47" s="1" t="str">
        <f t="shared" si="3"/>
        <v>High</v>
      </c>
      <c r="P47" s="1" t="str">
        <f t="shared" si="2"/>
        <v>Permanent</v>
      </c>
    </row>
    <row r="48" spans="1:16" x14ac:dyDescent="0.3">
      <c r="A48" s="7" t="s">
        <v>733</v>
      </c>
      <c r="B48" s="12"/>
      <c r="C48" s="1" t="s">
        <v>735</v>
      </c>
      <c r="D48" s="1" t="s">
        <v>724</v>
      </c>
      <c r="E48" s="1" t="s">
        <v>728</v>
      </c>
      <c r="F48" s="1">
        <v>11</v>
      </c>
      <c r="G48" s="1" t="str">
        <f t="shared" si="0"/>
        <v>Distribution</v>
      </c>
      <c r="H48" s="1" t="s">
        <v>14</v>
      </c>
      <c r="I48" s="1" t="s">
        <v>15</v>
      </c>
      <c r="J48" s="7" t="s">
        <v>742</v>
      </c>
      <c r="K48" s="1">
        <v>2.2799999999999998</v>
      </c>
      <c r="L48" s="1" t="s">
        <v>301</v>
      </c>
      <c r="M48" s="1" t="s">
        <v>374</v>
      </c>
      <c r="N48" s="1" t="s">
        <v>695</v>
      </c>
      <c r="O48" s="1" t="str">
        <f t="shared" si="3"/>
        <v>High</v>
      </c>
      <c r="P48" s="1" t="str">
        <f t="shared" si="2"/>
        <v>Permanent</v>
      </c>
    </row>
    <row r="49" spans="1:16" x14ac:dyDescent="0.3">
      <c r="A49" s="7" t="s">
        <v>733</v>
      </c>
      <c r="B49" s="12"/>
      <c r="C49" s="1" t="s">
        <v>735</v>
      </c>
      <c r="D49" s="1" t="s">
        <v>724</v>
      </c>
      <c r="E49" s="1" t="s">
        <v>743</v>
      </c>
      <c r="F49" s="1">
        <v>11</v>
      </c>
      <c r="G49" s="1" t="str">
        <f t="shared" si="0"/>
        <v>Distribution</v>
      </c>
      <c r="H49" s="1" t="s">
        <v>14</v>
      </c>
      <c r="I49" s="1" t="s">
        <v>15</v>
      </c>
      <c r="J49" s="7" t="s">
        <v>742</v>
      </c>
      <c r="K49" s="1">
        <v>2.2799999999999998</v>
      </c>
      <c r="L49" s="1" t="s">
        <v>301</v>
      </c>
      <c r="M49" s="1" t="s">
        <v>374</v>
      </c>
      <c r="N49" s="1" t="s">
        <v>695</v>
      </c>
      <c r="O49" s="1" t="str">
        <f t="shared" si="3"/>
        <v>High</v>
      </c>
      <c r="P49" s="1" t="str">
        <f t="shared" si="2"/>
        <v>Permanent</v>
      </c>
    </row>
    <row r="50" spans="1:16" x14ac:dyDescent="0.3">
      <c r="A50" s="7" t="s">
        <v>733</v>
      </c>
      <c r="B50" s="12"/>
      <c r="C50" s="1" t="s">
        <v>735</v>
      </c>
      <c r="D50" s="1" t="s">
        <v>724</v>
      </c>
      <c r="E50" s="1" t="s">
        <v>744</v>
      </c>
      <c r="F50" s="1">
        <v>11</v>
      </c>
      <c r="G50" s="1" t="str">
        <f t="shared" si="0"/>
        <v>Distribution</v>
      </c>
      <c r="H50" s="1" t="s">
        <v>14</v>
      </c>
      <c r="I50" s="1" t="s">
        <v>15</v>
      </c>
      <c r="J50" s="7" t="s">
        <v>742</v>
      </c>
      <c r="K50" s="1">
        <v>2.2799999999999998</v>
      </c>
      <c r="L50" s="1"/>
      <c r="M50" s="1" t="s">
        <v>745</v>
      </c>
      <c r="N50" s="1" t="s">
        <v>695</v>
      </c>
      <c r="O50" s="1" t="str">
        <f t="shared" si="3"/>
        <v>High</v>
      </c>
      <c r="P50" s="1" t="str">
        <f t="shared" si="2"/>
        <v>Permanent</v>
      </c>
    </row>
    <row r="51" spans="1:16" x14ac:dyDescent="0.3">
      <c r="A51" s="7" t="s">
        <v>795</v>
      </c>
      <c r="B51" s="12" t="s">
        <v>796</v>
      </c>
      <c r="C51" s="1" t="s">
        <v>797</v>
      </c>
      <c r="D51" s="1" t="s">
        <v>52</v>
      </c>
      <c r="E51" s="1" t="s">
        <v>798</v>
      </c>
      <c r="F51" s="1">
        <v>12</v>
      </c>
      <c r="G51" s="1" t="str">
        <f t="shared" si="0"/>
        <v>Distribution</v>
      </c>
      <c r="H51" s="1" t="s">
        <v>47</v>
      </c>
      <c r="I51" s="1" t="s">
        <v>15</v>
      </c>
      <c r="J51" s="7" t="s">
        <v>497</v>
      </c>
      <c r="K51" s="1">
        <v>0</v>
      </c>
      <c r="L51" s="1" t="s">
        <v>17</v>
      </c>
      <c r="M51" s="1" t="s">
        <v>799</v>
      </c>
      <c r="N51" s="1" t="s">
        <v>781</v>
      </c>
      <c r="O51" s="1" t="str">
        <f t="shared" si="3"/>
        <v>Low</v>
      </c>
      <c r="P51" s="1" t="str">
        <f t="shared" si="2"/>
        <v>Transient</v>
      </c>
    </row>
    <row r="52" spans="1:16" ht="13.95" customHeight="1" x14ac:dyDescent="0.3">
      <c r="A52" s="7" t="s">
        <v>800</v>
      </c>
      <c r="B52" s="12" t="s">
        <v>801</v>
      </c>
      <c r="C52" s="1" t="s">
        <v>797</v>
      </c>
      <c r="D52" s="1" t="s">
        <v>188</v>
      </c>
      <c r="E52" s="1" t="s">
        <v>802</v>
      </c>
      <c r="F52" s="1">
        <v>33</v>
      </c>
      <c r="G52" s="1" t="str">
        <f t="shared" si="0"/>
        <v>Distribution</v>
      </c>
      <c r="H52" s="1" t="s">
        <v>21</v>
      </c>
      <c r="I52" s="1" t="s">
        <v>15</v>
      </c>
      <c r="J52" s="7" t="s">
        <v>803</v>
      </c>
      <c r="K52" s="1">
        <v>1.8</v>
      </c>
      <c r="L52" s="1" t="s">
        <v>804</v>
      </c>
      <c r="M52" s="1" t="s">
        <v>805</v>
      </c>
      <c r="N52" s="1" t="s">
        <v>781</v>
      </c>
      <c r="O52" s="1" t="str">
        <f t="shared" si="3"/>
        <v>High</v>
      </c>
      <c r="P52" s="1" t="str">
        <f t="shared" si="2"/>
        <v>Permanent</v>
      </c>
    </row>
    <row r="53" spans="1:16" x14ac:dyDescent="0.3">
      <c r="A53" s="7" t="s">
        <v>800</v>
      </c>
      <c r="B53" s="12"/>
      <c r="C53" s="1" t="s">
        <v>797</v>
      </c>
      <c r="D53" s="1" t="s">
        <v>188</v>
      </c>
      <c r="E53" s="1" t="s">
        <v>806</v>
      </c>
      <c r="F53" s="1">
        <v>33</v>
      </c>
      <c r="G53" s="1" t="str">
        <f t="shared" si="0"/>
        <v>Distribution</v>
      </c>
      <c r="H53" s="1" t="s">
        <v>21</v>
      </c>
      <c r="I53" s="1" t="s">
        <v>15</v>
      </c>
      <c r="J53" s="7" t="s">
        <v>803</v>
      </c>
      <c r="K53" s="1">
        <v>1.8</v>
      </c>
      <c r="L53" s="1" t="s">
        <v>804</v>
      </c>
      <c r="M53" s="1" t="s">
        <v>805</v>
      </c>
      <c r="N53" s="1" t="s">
        <v>781</v>
      </c>
      <c r="O53" s="1" t="str">
        <f t="shared" si="3"/>
        <v>High</v>
      </c>
      <c r="P53" s="1" t="str">
        <f t="shared" si="2"/>
        <v>Permanent</v>
      </c>
    </row>
    <row r="54" spans="1:16" x14ac:dyDescent="0.3">
      <c r="A54" s="7" t="s">
        <v>800</v>
      </c>
      <c r="B54" s="12"/>
      <c r="C54" s="1" t="s">
        <v>797</v>
      </c>
      <c r="D54" s="1" t="s">
        <v>188</v>
      </c>
      <c r="E54" s="1" t="s">
        <v>807</v>
      </c>
      <c r="F54" s="1">
        <v>33</v>
      </c>
      <c r="G54" s="1" t="str">
        <f t="shared" si="0"/>
        <v>Distribution</v>
      </c>
      <c r="H54" s="1" t="s">
        <v>21</v>
      </c>
      <c r="I54" s="1" t="s">
        <v>15</v>
      </c>
      <c r="J54" s="7" t="s">
        <v>808</v>
      </c>
      <c r="K54" s="1">
        <v>0.97</v>
      </c>
      <c r="L54" s="1" t="s">
        <v>119</v>
      </c>
      <c r="M54" s="1" t="s">
        <v>809</v>
      </c>
      <c r="N54" s="1" t="s">
        <v>781</v>
      </c>
      <c r="O54" s="1" t="str">
        <f t="shared" si="3"/>
        <v>High</v>
      </c>
      <c r="P54" s="1" t="str">
        <f t="shared" si="2"/>
        <v>Permanent</v>
      </c>
    </row>
    <row r="55" spans="1:16" x14ac:dyDescent="0.3">
      <c r="A55" s="7" t="s">
        <v>816</v>
      </c>
      <c r="B55" s="12" t="s">
        <v>817</v>
      </c>
      <c r="C55" s="1" t="s">
        <v>818</v>
      </c>
      <c r="D55" s="1" t="s">
        <v>52</v>
      </c>
      <c r="E55" s="1" t="s">
        <v>819</v>
      </c>
      <c r="F55" s="1">
        <v>12</v>
      </c>
      <c r="G55" s="1" t="str">
        <f t="shared" si="0"/>
        <v>Distribution</v>
      </c>
      <c r="H55" s="1" t="s">
        <v>47</v>
      </c>
      <c r="I55" s="1" t="s">
        <v>15</v>
      </c>
      <c r="J55" s="7" t="s">
        <v>497</v>
      </c>
      <c r="K55" s="1">
        <v>0</v>
      </c>
      <c r="L55" s="1" t="s">
        <v>17</v>
      </c>
      <c r="M55" s="1" t="s">
        <v>820</v>
      </c>
      <c r="N55" s="1" t="s">
        <v>781</v>
      </c>
      <c r="O55" s="1" t="str">
        <f t="shared" si="3"/>
        <v>Low</v>
      </c>
      <c r="P55" s="1" t="str">
        <f t="shared" si="2"/>
        <v>Transient</v>
      </c>
    </row>
    <row r="56" spans="1:16" x14ac:dyDescent="0.3">
      <c r="A56" s="7" t="s">
        <v>828</v>
      </c>
      <c r="B56" s="12" t="s">
        <v>829</v>
      </c>
      <c r="C56" s="1" t="s">
        <v>818</v>
      </c>
      <c r="D56" s="1" t="s">
        <v>694</v>
      </c>
      <c r="E56" s="1" t="s">
        <v>830</v>
      </c>
      <c r="F56" s="1">
        <v>33</v>
      </c>
      <c r="G56" s="1" t="str">
        <f t="shared" si="0"/>
        <v>Distribution</v>
      </c>
      <c r="H56" s="1" t="s">
        <v>47</v>
      </c>
      <c r="I56" s="1" t="s">
        <v>31</v>
      </c>
      <c r="J56" s="7" t="s">
        <v>831</v>
      </c>
      <c r="K56" s="1">
        <v>4.13</v>
      </c>
      <c r="L56" s="1" t="s">
        <v>832</v>
      </c>
      <c r="M56" s="1" t="s">
        <v>833</v>
      </c>
      <c r="N56" s="1" t="s">
        <v>781</v>
      </c>
      <c r="O56" s="1" t="str">
        <f t="shared" si="3"/>
        <v>High</v>
      </c>
      <c r="P56" s="1" t="str">
        <f t="shared" si="2"/>
        <v>Permanent</v>
      </c>
    </row>
    <row r="57" spans="1:16" x14ac:dyDescent="0.3">
      <c r="A57" s="7" t="s">
        <v>835</v>
      </c>
      <c r="B57" s="12" t="s">
        <v>836</v>
      </c>
      <c r="C57" s="1" t="s">
        <v>837</v>
      </c>
      <c r="D57" s="1" t="s">
        <v>52</v>
      </c>
      <c r="E57" s="1" t="s">
        <v>838</v>
      </c>
      <c r="F57" s="1">
        <v>12</v>
      </c>
      <c r="G57" s="1" t="str">
        <f t="shared" si="0"/>
        <v>Distribution</v>
      </c>
      <c r="H57" s="1" t="s">
        <v>47</v>
      </c>
      <c r="I57" s="1" t="s">
        <v>64</v>
      </c>
      <c r="J57" s="7" t="s">
        <v>839</v>
      </c>
      <c r="K57" s="1">
        <v>4.43</v>
      </c>
      <c r="L57" s="1" t="s">
        <v>840</v>
      </c>
      <c r="M57" s="1" t="s">
        <v>841</v>
      </c>
      <c r="N57" s="1" t="s">
        <v>781</v>
      </c>
      <c r="O57" s="1" t="str">
        <f t="shared" si="3"/>
        <v>High</v>
      </c>
      <c r="P57" s="1" t="str">
        <f t="shared" si="2"/>
        <v>Permanent</v>
      </c>
    </row>
    <row r="58" spans="1:16" x14ac:dyDescent="0.3">
      <c r="A58" s="7" t="s">
        <v>853</v>
      </c>
      <c r="B58" s="12" t="s">
        <v>854</v>
      </c>
      <c r="C58" s="1" t="s">
        <v>855</v>
      </c>
      <c r="D58" s="1" t="s">
        <v>856</v>
      </c>
      <c r="E58" s="1" t="s">
        <v>857</v>
      </c>
      <c r="F58" s="1">
        <v>11</v>
      </c>
      <c r="G58" s="1" t="str">
        <f t="shared" si="0"/>
        <v>Distribution</v>
      </c>
      <c r="H58" s="1" t="s">
        <v>14</v>
      </c>
      <c r="I58" s="1" t="s">
        <v>15</v>
      </c>
      <c r="J58" s="7" t="s">
        <v>858</v>
      </c>
      <c r="K58" s="1">
        <v>1.68</v>
      </c>
      <c r="L58" s="1" t="s">
        <v>415</v>
      </c>
      <c r="M58" s="1" t="s">
        <v>859</v>
      </c>
      <c r="N58" s="1" t="s">
        <v>18</v>
      </c>
      <c r="O58" s="1" t="str">
        <f t="shared" ref="O58:O79" si="4">IF(K58&lt;=0.083,"Low",IF(K58&lt;=0.5,"Medium",IF(K58&gt;0.5,"High")))</f>
        <v>High</v>
      </c>
      <c r="P58" s="1" t="str">
        <f t="shared" si="2"/>
        <v>Permanent</v>
      </c>
    </row>
    <row r="59" spans="1:16" x14ac:dyDescent="0.3">
      <c r="A59" s="7" t="s">
        <v>853</v>
      </c>
      <c r="B59" s="12" t="s">
        <v>860</v>
      </c>
      <c r="C59" s="1" t="s">
        <v>855</v>
      </c>
      <c r="D59" s="1" t="s">
        <v>856</v>
      </c>
      <c r="E59" s="1" t="s">
        <v>861</v>
      </c>
      <c r="F59" s="1">
        <v>11</v>
      </c>
      <c r="G59" s="1" t="str">
        <f t="shared" si="0"/>
        <v>Distribution</v>
      </c>
      <c r="H59" s="1" t="s">
        <v>14</v>
      </c>
      <c r="I59" s="1" t="s">
        <v>15</v>
      </c>
      <c r="J59" s="7" t="s">
        <v>858</v>
      </c>
      <c r="K59" s="1">
        <v>1.68</v>
      </c>
      <c r="L59" s="1" t="s">
        <v>415</v>
      </c>
      <c r="M59" s="1" t="s">
        <v>859</v>
      </c>
      <c r="N59" s="1" t="s">
        <v>18</v>
      </c>
      <c r="O59" s="1" t="str">
        <f t="shared" si="4"/>
        <v>High</v>
      </c>
      <c r="P59" s="1" t="str">
        <f t="shared" si="2"/>
        <v>Permanent</v>
      </c>
    </row>
    <row r="60" spans="1:16" x14ac:dyDescent="0.3">
      <c r="A60" s="7" t="s">
        <v>879</v>
      </c>
      <c r="B60" s="12" t="s">
        <v>880</v>
      </c>
      <c r="C60" s="1" t="s">
        <v>881</v>
      </c>
      <c r="D60" s="1" t="s">
        <v>882</v>
      </c>
      <c r="E60" s="1" t="s">
        <v>883</v>
      </c>
      <c r="F60" s="1">
        <v>11</v>
      </c>
      <c r="G60" s="1" t="str">
        <f t="shared" si="0"/>
        <v>Distribution</v>
      </c>
      <c r="H60" s="1" t="s">
        <v>21</v>
      </c>
      <c r="I60" s="1" t="s">
        <v>15</v>
      </c>
      <c r="J60" s="7" t="s">
        <v>884</v>
      </c>
      <c r="K60" s="1">
        <v>1.02</v>
      </c>
      <c r="L60" s="1" t="s">
        <v>450</v>
      </c>
      <c r="M60" s="1" t="s">
        <v>885</v>
      </c>
      <c r="N60" s="1" t="s">
        <v>18</v>
      </c>
      <c r="O60" s="1" t="str">
        <f t="shared" si="4"/>
        <v>High</v>
      </c>
      <c r="P60" s="1" t="str">
        <f t="shared" si="2"/>
        <v>Permanent</v>
      </c>
    </row>
    <row r="61" spans="1:16" x14ac:dyDescent="0.3">
      <c r="A61" s="7" t="s">
        <v>879</v>
      </c>
      <c r="B61" s="12" t="s">
        <v>880</v>
      </c>
      <c r="C61" s="1" t="s">
        <v>881</v>
      </c>
      <c r="D61" s="1" t="s">
        <v>882</v>
      </c>
      <c r="E61" s="1" t="s">
        <v>886</v>
      </c>
      <c r="F61" s="1">
        <v>11</v>
      </c>
      <c r="G61" s="1" t="str">
        <f t="shared" si="0"/>
        <v>Distribution</v>
      </c>
      <c r="H61" s="1" t="s">
        <v>21</v>
      </c>
      <c r="I61" s="1" t="s">
        <v>15</v>
      </c>
      <c r="J61" s="7" t="s">
        <v>884</v>
      </c>
      <c r="K61" s="1">
        <v>1.02</v>
      </c>
      <c r="L61" s="1" t="s">
        <v>450</v>
      </c>
      <c r="M61" s="1" t="s">
        <v>374</v>
      </c>
      <c r="N61" s="1" t="s">
        <v>18</v>
      </c>
      <c r="O61" s="1" t="str">
        <f t="shared" si="4"/>
        <v>High</v>
      </c>
      <c r="P61" s="1" t="str">
        <f t="shared" si="2"/>
        <v>Permanent</v>
      </c>
    </row>
    <row r="62" spans="1:16" x14ac:dyDescent="0.3">
      <c r="A62" s="7" t="s">
        <v>903</v>
      </c>
      <c r="B62" s="12" t="s">
        <v>904</v>
      </c>
      <c r="C62" s="1" t="s">
        <v>905</v>
      </c>
      <c r="D62" s="1" t="s">
        <v>118</v>
      </c>
      <c r="E62" s="1" t="s">
        <v>906</v>
      </c>
      <c r="F62" s="1">
        <v>11</v>
      </c>
      <c r="G62" s="1" t="str">
        <f t="shared" si="0"/>
        <v>Distribution</v>
      </c>
      <c r="H62" s="1" t="s">
        <v>14</v>
      </c>
      <c r="I62" s="1" t="s">
        <v>64</v>
      </c>
      <c r="J62" s="11">
        <v>0.15486111111111112</v>
      </c>
      <c r="K62" s="1">
        <v>5.47</v>
      </c>
      <c r="L62" s="1" t="s">
        <v>901</v>
      </c>
      <c r="M62" s="1" t="s">
        <v>907</v>
      </c>
      <c r="N62" s="1" t="s">
        <v>18</v>
      </c>
      <c r="O62" s="1" t="str">
        <f t="shared" si="4"/>
        <v>High</v>
      </c>
      <c r="P62" s="1" t="str">
        <f t="shared" si="2"/>
        <v>Permanent</v>
      </c>
    </row>
    <row r="63" spans="1:16" x14ac:dyDescent="0.3">
      <c r="A63" s="7" t="s">
        <v>903</v>
      </c>
      <c r="B63" s="12" t="s">
        <v>904</v>
      </c>
      <c r="C63" s="1" t="s">
        <v>905</v>
      </c>
      <c r="D63" s="1" t="s">
        <v>118</v>
      </c>
      <c r="E63" s="1" t="s">
        <v>908</v>
      </c>
      <c r="F63" s="1">
        <v>11</v>
      </c>
      <c r="G63" s="1" t="str">
        <f t="shared" si="0"/>
        <v>Distribution</v>
      </c>
      <c r="H63" s="1" t="s">
        <v>14</v>
      </c>
      <c r="I63" s="1" t="s">
        <v>64</v>
      </c>
      <c r="J63" s="11">
        <v>0.15486111111111112</v>
      </c>
      <c r="K63" s="1">
        <v>5.47</v>
      </c>
      <c r="L63" s="1" t="s">
        <v>901</v>
      </c>
      <c r="M63" s="1" t="s">
        <v>907</v>
      </c>
      <c r="N63" s="1" t="s">
        <v>18</v>
      </c>
      <c r="O63" s="1" t="str">
        <f t="shared" si="4"/>
        <v>High</v>
      </c>
      <c r="P63" s="1" t="str">
        <f t="shared" si="2"/>
        <v>Permanent</v>
      </c>
    </row>
    <row r="64" spans="1:16" x14ac:dyDescent="0.3">
      <c r="A64" s="7" t="s">
        <v>909</v>
      </c>
      <c r="B64" s="12" t="s">
        <v>916</v>
      </c>
      <c r="C64" s="1" t="s">
        <v>917</v>
      </c>
      <c r="D64" s="1" t="s">
        <v>171</v>
      </c>
      <c r="E64" s="1" t="s">
        <v>918</v>
      </c>
      <c r="F64" s="1">
        <v>11</v>
      </c>
      <c r="G64" s="1" t="str">
        <f t="shared" si="0"/>
        <v>Distribution</v>
      </c>
      <c r="H64" s="1" t="s">
        <v>14</v>
      </c>
      <c r="I64" s="1" t="s">
        <v>15</v>
      </c>
      <c r="J64" s="7" t="s">
        <v>919</v>
      </c>
      <c r="K64" s="1">
        <v>0.45</v>
      </c>
      <c r="L64" s="1" t="s">
        <v>415</v>
      </c>
      <c r="M64" s="1" t="s">
        <v>920</v>
      </c>
      <c r="N64" s="1" t="s">
        <v>18</v>
      </c>
      <c r="O64" s="1" t="str">
        <f t="shared" si="4"/>
        <v>Medium</v>
      </c>
      <c r="P64" s="1" t="str">
        <f t="shared" si="2"/>
        <v>Sustained</v>
      </c>
    </row>
    <row r="65" spans="1:16" x14ac:dyDescent="0.3">
      <c r="A65" s="7" t="s">
        <v>909</v>
      </c>
      <c r="B65" s="12" t="s">
        <v>916</v>
      </c>
      <c r="C65" s="1" t="s">
        <v>917</v>
      </c>
      <c r="D65" s="1" t="s">
        <v>171</v>
      </c>
      <c r="E65" s="1" t="s">
        <v>921</v>
      </c>
      <c r="F65" s="1">
        <v>11</v>
      </c>
      <c r="G65" s="1" t="str">
        <f t="shared" ref="G65:G115" si="5">IF(F65&gt;=132,"Transmission",IF(F65&gt;=66,"Sub-Transmission","Distribution"))</f>
        <v>Distribution</v>
      </c>
      <c r="H65" s="1" t="s">
        <v>14</v>
      </c>
      <c r="I65" s="1" t="s">
        <v>15</v>
      </c>
      <c r="J65" s="7" t="s">
        <v>919</v>
      </c>
      <c r="K65" s="1">
        <v>0.45</v>
      </c>
      <c r="L65" s="1" t="s">
        <v>415</v>
      </c>
      <c r="M65" s="1" t="s">
        <v>920</v>
      </c>
      <c r="N65" s="1" t="s">
        <v>18</v>
      </c>
      <c r="O65" s="1" t="str">
        <f t="shared" si="4"/>
        <v>Medium</v>
      </c>
      <c r="P65" s="1" t="str">
        <f t="shared" ref="P65:P115" si="6">IF(O65="Low","Transient",IF(O65="Medium","Sustained",IF(O65="High","Permanent")))</f>
        <v>Sustained</v>
      </c>
    </row>
    <row r="66" spans="1:16" x14ac:dyDescent="0.3">
      <c r="A66" s="7" t="s">
        <v>926</v>
      </c>
      <c r="B66" s="12" t="s">
        <v>927</v>
      </c>
      <c r="C66" s="1" t="s">
        <v>928</v>
      </c>
      <c r="D66" s="1" t="s">
        <v>26</v>
      </c>
      <c r="E66" s="1" t="s">
        <v>929</v>
      </c>
      <c r="F66" s="1">
        <v>33</v>
      </c>
      <c r="G66" s="1" t="str">
        <f t="shared" si="5"/>
        <v>Distribution</v>
      </c>
      <c r="H66" s="1" t="s">
        <v>14</v>
      </c>
      <c r="I66" s="1" t="s">
        <v>15</v>
      </c>
      <c r="J66" s="7" t="s">
        <v>930</v>
      </c>
      <c r="K66" s="1">
        <v>0.5</v>
      </c>
      <c r="L66" s="1" t="s">
        <v>931</v>
      </c>
      <c r="M66" s="1" t="s">
        <v>932</v>
      </c>
      <c r="N66" s="1" t="s">
        <v>18</v>
      </c>
      <c r="O66" s="1" t="str">
        <f t="shared" si="4"/>
        <v>Medium</v>
      </c>
      <c r="P66" s="1" t="str">
        <f t="shared" si="6"/>
        <v>Sustained</v>
      </c>
    </row>
    <row r="67" spans="1:16" x14ac:dyDescent="0.3">
      <c r="A67" s="7" t="s">
        <v>926</v>
      </c>
      <c r="B67" s="12" t="s">
        <v>927</v>
      </c>
      <c r="C67" s="1" t="s">
        <v>928</v>
      </c>
      <c r="D67" s="1" t="s">
        <v>26</v>
      </c>
      <c r="E67" s="1" t="s">
        <v>933</v>
      </c>
      <c r="F67" s="1">
        <v>33</v>
      </c>
      <c r="G67" s="1" t="str">
        <f t="shared" si="5"/>
        <v>Distribution</v>
      </c>
      <c r="H67" s="1" t="s">
        <v>14</v>
      </c>
      <c r="I67" s="1" t="s">
        <v>15</v>
      </c>
      <c r="J67" s="7" t="s">
        <v>934</v>
      </c>
      <c r="K67" s="1">
        <v>0.72</v>
      </c>
      <c r="L67" s="1" t="s">
        <v>931</v>
      </c>
      <c r="M67" s="1" t="s">
        <v>374</v>
      </c>
      <c r="N67" s="1" t="s">
        <v>18</v>
      </c>
      <c r="O67" s="1" t="str">
        <f t="shared" si="4"/>
        <v>High</v>
      </c>
      <c r="P67" s="1" t="str">
        <f t="shared" si="6"/>
        <v>Permanent</v>
      </c>
    </row>
    <row r="68" spans="1:16" x14ac:dyDescent="0.3">
      <c r="A68" s="7" t="s">
        <v>926</v>
      </c>
      <c r="B68" s="12" t="s">
        <v>867</v>
      </c>
      <c r="C68" s="1" t="s">
        <v>928</v>
      </c>
      <c r="D68" s="1" t="s">
        <v>26</v>
      </c>
      <c r="E68" s="1" t="s">
        <v>935</v>
      </c>
      <c r="F68" s="1">
        <v>33</v>
      </c>
      <c r="G68" s="1" t="str">
        <f t="shared" si="5"/>
        <v>Distribution</v>
      </c>
      <c r="H68" s="1" t="s">
        <v>14</v>
      </c>
      <c r="I68" s="1" t="s">
        <v>15</v>
      </c>
      <c r="J68" s="7" t="s">
        <v>867</v>
      </c>
      <c r="K68" s="1">
        <v>0</v>
      </c>
      <c r="L68" s="1" t="s">
        <v>931</v>
      </c>
      <c r="M68" s="1" t="s">
        <v>379</v>
      </c>
      <c r="N68" s="1" t="s">
        <v>18</v>
      </c>
      <c r="O68" s="1" t="str">
        <f t="shared" si="4"/>
        <v>Low</v>
      </c>
      <c r="P68" s="1" t="str">
        <f t="shared" si="6"/>
        <v>Transient</v>
      </c>
    </row>
    <row r="69" spans="1:16" x14ac:dyDescent="0.3">
      <c r="A69" s="7" t="s">
        <v>926</v>
      </c>
      <c r="B69" s="12" t="s">
        <v>936</v>
      </c>
      <c r="C69" s="1" t="s">
        <v>937</v>
      </c>
      <c r="D69" s="1" t="s">
        <v>724</v>
      </c>
      <c r="E69" s="1" t="s">
        <v>938</v>
      </c>
      <c r="F69" s="1">
        <v>11</v>
      </c>
      <c r="G69" s="1" t="str">
        <f t="shared" si="5"/>
        <v>Distribution</v>
      </c>
      <c r="H69" s="1" t="s">
        <v>14</v>
      </c>
      <c r="I69" s="1" t="s">
        <v>15</v>
      </c>
      <c r="J69" s="7" t="s">
        <v>610</v>
      </c>
      <c r="K69" s="1">
        <v>0.62</v>
      </c>
      <c r="L69" s="1" t="s">
        <v>667</v>
      </c>
      <c r="M69" s="1" t="s">
        <v>939</v>
      </c>
      <c r="N69" s="1" t="s">
        <v>18</v>
      </c>
      <c r="O69" s="1" t="str">
        <f t="shared" si="4"/>
        <v>High</v>
      </c>
      <c r="P69" s="1" t="str">
        <f t="shared" si="6"/>
        <v>Permanent</v>
      </c>
    </row>
    <row r="70" spans="1:16" x14ac:dyDescent="0.3">
      <c r="A70" s="7" t="s">
        <v>926</v>
      </c>
      <c r="B70" s="12" t="s">
        <v>936</v>
      </c>
      <c r="C70" s="1" t="s">
        <v>937</v>
      </c>
      <c r="D70" s="1" t="s">
        <v>724</v>
      </c>
      <c r="E70" s="1" t="s">
        <v>940</v>
      </c>
      <c r="F70" s="1">
        <v>11</v>
      </c>
      <c r="G70" s="1" t="str">
        <f t="shared" si="5"/>
        <v>Distribution</v>
      </c>
      <c r="H70" s="1" t="s">
        <v>14</v>
      </c>
      <c r="I70" s="1" t="s">
        <v>15</v>
      </c>
      <c r="J70" s="7" t="s">
        <v>941</v>
      </c>
      <c r="K70" s="1">
        <v>0.63</v>
      </c>
      <c r="L70" s="1" t="s">
        <v>667</v>
      </c>
      <c r="M70" s="1" t="s">
        <v>942</v>
      </c>
      <c r="N70" s="1" t="s">
        <v>18</v>
      </c>
      <c r="O70" s="1" t="str">
        <f t="shared" si="4"/>
        <v>High</v>
      </c>
      <c r="P70" s="1" t="str">
        <f t="shared" si="6"/>
        <v>Permanent</v>
      </c>
    </row>
    <row r="71" spans="1:16" x14ac:dyDescent="0.3">
      <c r="A71" s="7" t="s">
        <v>926</v>
      </c>
      <c r="B71" s="12" t="s">
        <v>936</v>
      </c>
      <c r="C71" s="1" t="s">
        <v>937</v>
      </c>
      <c r="D71" s="1" t="s">
        <v>724</v>
      </c>
      <c r="E71" s="1" t="s">
        <v>943</v>
      </c>
      <c r="F71" s="1">
        <v>11</v>
      </c>
      <c r="G71" s="1" t="str">
        <f t="shared" si="5"/>
        <v>Distribution</v>
      </c>
      <c r="H71" s="1" t="s">
        <v>14</v>
      </c>
      <c r="I71" s="1" t="s">
        <v>15</v>
      </c>
      <c r="J71" s="7" t="s">
        <v>944</v>
      </c>
      <c r="K71" s="1">
        <v>0.67</v>
      </c>
      <c r="L71" s="1" t="s">
        <v>667</v>
      </c>
      <c r="M71" s="1" t="s">
        <v>945</v>
      </c>
      <c r="N71" s="1" t="s">
        <v>18</v>
      </c>
      <c r="O71" s="1" t="str">
        <f t="shared" si="4"/>
        <v>High</v>
      </c>
      <c r="P71" s="1" t="str">
        <f t="shared" si="6"/>
        <v>Permanent</v>
      </c>
    </row>
    <row r="72" spans="1:16" x14ac:dyDescent="0.3">
      <c r="A72" s="7" t="s">
        <v>1012</v>
      </c>
      <c r="B72" s="12" t="s">
        <v>1013</v>
      </c>
      <c r="C72" s="1" t="s">
        <v>1014</v>
      </c>
      <c r="D72" s="1" t="s">
        <v>118</v>
      </c>
      <c r="E72" s="1" t="s">
        <v>1015</v>
      </c>
      <c r="F72" s="1">
        <v>11</v>
      </c>
      <c r="G72" s="1" t="str">
        <f t="shared" si="5"/>
        <v>Distribution</v>
      </c>
      <c r="H72" s="1" t="s">
        <v>1016</v>
      </c>
      <c r="I72" s="1" t="s">
        <v>15</v>
      </c>
      <c r="J72" s="7" t="s">
        <v>1017</v>
      </c>
      <c r="K72" s="1">
        <v>0.75</v>
      </c>
      <c r="L72" s="1" t="s">
        <v>17</v>
      </c>
      <c r="M72" s="1" t="s">
        <v>1018</v>
      </c>
      <c r="N72" s="1" t="s">
        <v>92</v>
      </c>
      <c r="O72" s="1" t="str">
        <f t="shared" si="4"/>
        <v>High</v>
      </c>
      <c r="P72" s="1" t="str">
        <f t="shared" si="6"/>
        <v>Permanent</v>
      </c>
    </row>
    <row r="73" spans="1:16" x14ac:dyDescent="0.3">
      <c r="A73" s="7" t="s">
        <v>1012</v>
      </c>
      <c r="B73" s="12" t="s">
        <v>1013</v>
      </c>
      <c r="C73" s="1" t="s">
        <v>1014</v>
      </c>
      <c r="D73" s="1" t="s">
        <v>118</v>
      </c>
      <c r="E73" s="1" t="s">
        <v>1019</v>
      </c>
      <c r="F73" s="1">
        <v>11</v>
      </c>
      <c r="G73" s="1" t="str">
        <f t="shared" si="5"/>
        <v>Distribution</v>
      </c>
      <c r="H73" s="1" t="s">
        <v>1016</v>
      </c>
      <c r="I73" s="1" t="s">
        <v>15</v>
      </c>
      <c r="J73" s="7" t="s">
        <v>1017</v>
      </c>
      <c r="K73" s="1">
        <v>0.75</v>
      </c>
      <c r="L73" s="1" t="s">
        <v>17</v>
      </c>
      <c r="M73" s="1" t="s">
        <v>425</v>
      </c>
      <c r="N73" s="1" t="s">
        <v>92</v>
      </c>
      <c r="O73" s="1" t="str">
        <f t="shared" si="4"/>
        <v>High</v>
      </c>
      <c r="P73" s="1" t="str">
        <f t="shared" si="6"/>
        <v>Permanent</v>
      </c>
    </row>
    <row r="74" spans="1:16" x14ac:dyDescent="0.3">
      <c r="A74" s="7" t="s">
        <v>1022</v>
      </c>
      <c r="B74" s="12" t="s">
        <v>1028</v>
      </c>
      <c r="C74" s="1" t="s">
        <v>1029</v>
      </c>
      <c r="D74" s="1" t="s">
        <v>1030</v>
      </c>
      <c r="E74" s="1" t="s">
        <v>1031</v>
      </c>
      <c r="F74" s="1">
        <v>11</v>
      </c>
      <c r="G74" s="1" t="str">
        <f t="shared" si="5"/>
        <v>Distribution</v>
      </c>
      <c r="H74" s="1" t="s">
        <v>14</v>
      </c>
      <c r="I74" s="1" t="s">
        <v>15</v>
      </c>
      <c r="J74" s="7" t="s">
        <v>1032</v>
      </c>
      <c r="K74" s="1">
        <v>0.65</v>
      </c>
      <c r="L74" s="1" t="s">
        <v>1027</v>
      </c>
      <c r="M74" s="1" t="s">
        <v>374</v>
      </c>
      <c r="N74" s="1" t="s">
        <v>92</v>
      </c>
      <c r="O74" s="1" t="str">
        <f t="shared" si="4"/>
        <v>High</v>
      </c>
      <c r="P74" s="1" t="str">
        <f t="shared" si="6"/>
        <v>Permanent</v>
      </c>
    </row>
    <row r="75" spans="1:16" x14ac:dyDescent="0.3">
      <c r="A75" s="7" t="s">
        <v>1022</v>
      </c>
      <c r="B75" s="12" t="s">
        <v>1033</v>
      </c>
      <c r="C75" s="1" t="s">
        <v>1029</v>
      </c>
      <c r="D75" s="1" t="s">
        <v>1030</v>
      </c>
      <c r="E75" s="1" t="s">
        <v>1034</v>
      </c>
      <c r="F75" s="1">
        <v>11</v>
      </c>
      <c r="G75" s="1" t="str">
        <f t="shared" si="5"/>
        <v>Distribution</v>
      </c>
      <c r="H75" s="1" t="s">
        <v>14</v>
      </c>
      <c r="I75" s="1" t="s">
        <v>15</v>
      </c>
      <c r="J75" s="7" t="s">
        <v>1035</v>
      </c>
      <c r="K75" s="1">
        <v>0.48</v>
      </c>
      <c r="L75" s="1" t="s">
        <v>1027</v>
      </c>
      <c r="M75" s="1" t="s">
        <v>1036</v>
      </c>
      <c r="N75" s="1" t="s">
        <v>92</v>
      </c>
      <c r="O75" s="1" t="str">
        <f t="shared" si="4"/>
        <v>Medium</v>
      </c>
      <c r="P75" s="1" t="str">
        <f t="shared" si="6"/>
        <v>Sustained</v>
      </c>
    </row>
    <row r="76" spans="1:16" x14ac:dyDescent="0.3">
      <c r="A76" s="7" t="s">
        <v>1022</v>
      </c>
      <c r="B76" s="12" t="s">
        <v>1033</v>
      </c>
      <c r="C76" s="1" t="s">
        <v>1029</v>
      </c>
      <c r="D76" s="1" t="s">
        <v>1030</v>
      </c>
      <c r="E76" s="1" t="s">
        <v>1037</v>
      </c>
      <c r="F76" s="1">
        <v>11</v>
      </c>
      <c r="G76" s="1" t="str">
        <f t="shared" si="5"/>
        <v>Distribution</v>
      </c>
      <c r="H76" s="1" t="s">
        <v>14</v>
      </c>
      <c r="I76" s="1" t="s">
        <v>15</v>
      </c>
      <c r="J76" s="7" t="s">
        <v>1035</v>
      </c>
      <c r="K76" s="1">
        <v>0.48</v>
      </c>
      <c r="L76" s="1" t="s">
        <v>1027</v>
      </c>
      <c r="M76" s="1" t="s">
        <v>1038</v>
      </c>
      <c r="N76" s="1" t="s">
        <v>92</v>
      </c>
      <c r="O76" s="1" t="str">
        <f t="shared" si="4"/>
        <v>Medium</v>
      </c>
      <c r="P76" s="1" t="str">
        <f t="shared" si="6"/>
        <v>Sustained</v>
      </c>
    </row>
    <row r="77" spans="1:16" x14ac:dyDescent="0.3">
      <c r="A77" s="7" t="s">
        <v>1055</v>
      </c>
      <c r="B77" s="12" t="s">
        <v>1056</v>
      </c>
      <c r="C77" s="1" t="s">
        <v>1057</v>
      </c>
      <c r="D77" s="1" t="s">
        <v>856</v>
      </c>
      <c r="E77" s="1" t="s">
        <v>1058</v>
      </c>
      <c r="F77" s="1">
        <v>11</v>
      </c>
      <c r="G77" s="1" t="str">
        <f t="shared" si="5"/>
        <v>Distribution</v>
      </c>
      <c r="H77" s="1" t="s">
        <v>14</v>
      </c>
      <c r="I77" s="1" t="s">
        <v>15</v>
      </c>
      <c r="J77" s="7" t="s">
        <v>1059</v>
      </c>
      <c r="K77" s="1">
        <v>1.32</v>
      </c>
      <c r="L77" s="1" t="s">
        <v>1060</v>
      </c>
      <c r="M77" s="1" t="s">
        <v>1061</v>
      </c>
      <c r="N77" s="1" t="s">
        <v>92</v>
      </c>
      <c r="O77" s="1" t="str">
        <f t="shared" si="4"/>
        <v>High</v>
      </c>
      <c r="P77" s="1" t="str">
        <f t="shared" si="6"/>
        <v>Permanent</v>
      </c>
    </row>
    <row r="78" spans="1:16" x14ac:dyDescent="0.3">
      <c r="A78" s="7" t="s">
        <v>1062</v>
      </c>
      <c r="B78" s="12" t="s">
        <v>1063</v>
      </c>
      <c r="C78" s="1" t="s">
        <v>1064</v>
      </c>
      <c r="D78" s="1" t="s">
        <v>199</v>
      </c>
      <c r="E78" s="1" t="s">
        <v>1065</v>
      </c>
      <c r="F78" s="1">
        <v>33</v>
      </c>
      <c r="G78" s="1" t="str">
        <f t="shared" si="5"/>
        <v>Distribution</v>
      </c>
      <c r="H78" s="1" t="s">
        <v>14</v>
      </c>
      <c r="I78" s="1" t="s">
        <v>15</v>
      </c>
      <c r="J78" s="7" t="s">
        <v>1066</v>
      </c>
      <c r="K78" s="1">
        <v>2.75</v>
      </c>
      <c r="L78" s="1" t="s">
        <v>114</v>
      </c>
      <c r="M78" s="1" t="s">
        <v>1067</v>
      </c>
      <c r="N78" s="1" t="s">
        <v>92</v>
      </c>
      <c r="O78" s="1" t="str">
        <f t="shared" si="4"/>
        <v>High</v>
      </c>
      <c r="P78" s="1" t="str">
        <f t="shared" si="6"/>
        <v>Permanent</v>
      </c>
    </row>
    <row r="79" spans="1:16" x14ac:dyDescent="0.3">
      <c r="A79" s="7" t="s">
        <v>1062</v>
      </c>
      <c r="B79" s="12" t="s">
        <v>1063</v>
      </c>
      <c r="C79" s="1" t="s">
        <v>1064</v>
      </c>
      <c r="D79" s="1" t="s">
        <v>199</v>
      </c>
      <c r="E79" s="1" t="s">
        <v>1068</v>
      </c>
      <c r="F79" s="1">
        <v>33</v>
      </c>
      <c r="G79" s="1" t="str">
        <f t="shared" si="5"/>
        <v>Distribution</v>
      </c>
      <c r="H79" s="1" t="s">
        <v>14</v>
      </c>
      <c r="I79" s="1" t="s">
        <v>15</v>
      </c>
      <c r="J79" s="7" t="s">
        <v>1069</v>
      </c>
      <c r="K79" s="1">
        <v>4.5</v>
      </c>
      <c r="L79" s="1" t="s">
        <v>114</v>
      </c>
      <c r="M79" s="1" t="s">
        <v>1067</v>
      </c>
      <c r="N79" s="1" t="s">
        <v>92</v>
      </c>
      <c r="O79" s="1" t="str">
        <f t="shared" si="4"/>
        <v>High</v>
      </c>
      <c r="P79" s="1" t="str">
        <f t="shared" si="6"/>
        <v>Permanent</v>
      </c>
    </row>
    <row r="80" spans="1:16" x14ac:dyDescent="0.3">
      <c r="A80" s="7" t="s">
        <v>1092</v>
      </c>
      <c r="B80" s="12" t="s">
        <v>1093</v>
      </c>
      <c r="C80" s="1" t="s">
        <v>1129</v>
      </c>
      <c r="D80" s="1" t="s">
        <v>176</v>
      </c>
      <c r="E80" s="1" t="s">
        <v>1144</v>
      </c>
      <c r="F80" s="1">
        <v>11</v>
      </c>
      <c r="G80" s="1" t="str">
        <f t="shared" si="5"/>
        <v>Distribution</v>
      </c>
      <c r="H80" s="1" t="s">
        <v>14</v>
      </c>
      <c r="I80" s="1" t="s">
        <v>15</v>
      </c>
      <c r="J80" s="7" t="s">
        <v>952</v>
      </c>
      <c r="K80" s="1">
        <v>3.48</v>
      </c>
      <c r="L80" s="1" t="s">
        <v>1137</v>
      </c>
      <c r="M80" s="1" t="s">
        <v>1114</v>
      </c>
      <c r="N80" s="1" t="s">
        <v>156</v>
      </c>
      <c r="O80" s="1" t="str">
        <f t="shared" ref="O80:O108" si="7">IF(K80&lt;=0.083,"Low",IF(K80&lt;=0.5,"Medium",IF(K80&gt;0.5,"High")))</f>
        <v>High</v>
      </c>
      <c r="P80" s="1" t="str">
        <f t="shared" si="6"/>
        <v>Permanent</v>
      </c>
    </row>
    <row r="81" spans="1:16" x14ac:dyDescent="0.3">
      <c r="A81" s="7" t="s">
        <v>1092</v>
      </c>
      <c r="B81" s="12" t="s">
        <v>1093</v>
      </c>
      <c r="C81" s="1" t="s">
        <v>1129</v>
      </c>
      <c r="D81" s="1" t="s">
        <v>176</v>
      </c>
      <c r="E81" s="1" t="s">
        <v>1145</v>
      </c>
      <c r="F81" s="1">
        <v>11</v>
      </c>
      <c r="G81" s="1" t="str">
        <f t="shared" si="5"/>
        <v>Distribution</v>
      </c>
      <c r="H81" s="1" t="s">
        <v>14</v>
      </c>
      <c r="I81" s="1" t="s">
        <v>15</v>
      </c>
      <c r="J81" s="7" t="s">
        <v>952</v>
      </c>
      <c r="K81" s="1">
        <v>3.48</v>
      </c>
      <c r="L81" s="1" t="s">
        <v>1137</v>
      </c>
      <c r="M81" s="1" t="s">
        <v>1114</v>
      </c>
      <c r="N81" s="1" t="s">
        <v>156</v>
      </c>
      <c r="O81" s="1" t="str">
        <f t="shared" si="7"/>
        <v>High</v>
      </c>
      <c r="P81" s="1" t="str">
        <f t="shared" si="6"/>
        <v>Permanent</v>
      </c>
    </row>
    <row r="82" spans="1:16" x14ac:dyDescent="0.3">
      <c r="A82" s="7" t="s">
        <v>1092</v>
      </c>
      <c r="B82" s="12" t="s">
        <v>1093</v>
      </c>
      <c r="C82" s="1" t="s">
        <v>1129</v>
      </c>
      <c r="D82" s="1" t="s">
        <v>856</v>
      </c>
      <c r="E82" s="1" t="s">
        <v>1146</v>
      </c>
      <c r="F82" s="1">
        <v>11</v>
      </c>
      <c r="G82" s="1" t="str">
        <f t="shared" si="5"/>
        <v>Distribution</v>
      </c>
      <c r="H82" s="1" t="s">
        <v>14</v>
      </c>
      <c r="I82" s="1" t="s">
        <v>15</v>
      </c>
      <c r="J82" s="7" t="s">
        <v>1147</v>
      </c>
      <c r="K82" s="1">
        <v>4.45</v>
      </c>
      <c r="L82" s="1" t="s">
        <v>1027</v>
      </c>
      <c r="M82" s="1" t="s">
        <v>1148</v>
      </c>
      <c r="N82" s="1" t="s">
        <v>156</v>
      </c>
      <c r="O82" s="1" t="str">
        <f t="shared" si="7"/>
        <v>High</v>
      </c>
      <c r="P82" s="1" t="str">
        <f t="shared" si="6"/>
        <v>Permanent</v>
      </c>
    </row>
    <row r="83" spans="1:16" x14ac:dyDescent="0.3">
      <c r="A83" s="7" t="s">
        <v>1168</v>
      </c>
      <c r="B83" s="12" t="s">
        <v>923</v>
      </c>
      <c r="C83" s="1" t="s">
        <v>1169</v>
      </c>
      <c r="D83" s="1" t="s">
        <v>275</v>
      </c>
      <c r="E83" s="1" t="s">
        <v>1170</v>
      </c>
      <c r="F83" s="1">
        <v>11</v>
      </c>
      <c r="G83" s="1" t="str">
        <f t="shared" si="5"/>
        <v>Distribution</v>
      </c>
      <c r="H83" s="1" t="s">
        <v>14</v>
      </c>
      <c r="I83" s="1" t="s">
        <v>15</v>
      </c>
      <c r="J83" s="7" t="s">
        <v>518</v>
      </c>
      <c r="K83" s="1">
        <v>4.28</v>
      </c>
      <c r="L83" s="1" t="s">
        <v>1171</v>
      </c>
      <c r="M83" s="1" t="s">
        <v>1172</v>
      </c>
      <c r="N83" s="1" t="s">
        <v>156</v>
      </c>
      <c r="O83" s="1" t="str">
        <f t="shared" si="7"/>
        <v>High</v>
      </c>
      <c r="P83" s="1" t="str">
        <f t="shared" si="6"/>
        <v>Permanent</v>
      </c>
    </row>
    <row r="84" spans="1:16" x14ac:dyDescent="0.3">
      <c r="A84" s="7" t="s">
        <v>1168</v>
      </c>
      <c r="B84" s="12" t="s">
        <v>923</v>
      </c>
      <c r="C84" s="1" t="s">
        <v>1169</v>
      </c>
      <c r="D84" s="1" t="s">
        <v>275</v>
      </c>
      <c r="E84" s="1" t="s">
        <v>1173</v>
      </c>
      <c r="F84" s="1">
        <v>11</v>
      </c>
      <c r="G84" s="1" t="str">
        <f t="shared" si="5"/>
        <v>Distribution</v>
      </c>
      <c r="H84" s="1" t="s">
        <v>14</v>
      </c>
      <c r="I84" s="1" t="s">
        <v>15</v>
      </c>
      <c r="J84" s="7" t="s">
        <v>310</v>
      </c>
      <c r="K84" s="1">
        <v>0</v>
      </c>
      <c r="L84" s="1" t="s">
        <v>1171</v>
      </c>
      <c r="M84" s="1" t="s">
        <v>690</v>
      </c>
      <c r="N84" s="1" t="s">
        <v>156</v>
      </c>
      <c r="O84" s="1" t="str">
        <f t="shared" si="7"/>
        <v>Low</v>
      </c>
      <c r="P84" s="1" t="str">
        <f t="shared" si="6"/>
        <v>Transient</v>
      </c>
    </row>
    <row r="85" spans="1:16" x14ac:dyDescent="0.3">
      <c r="A85" s="7" t="s">
        <v>1168</v>
      </c>
      <c r="B85" s="12" t="s">
        <v>923</v>
      </c>
      <c r="C85" s="1" t="s">
        <v>1169</v>
      </c>
      <c r="D85" s="1" t="s">
        <v>275</v>
      </c>
      <c r="E85" s="1" t="s">
        <v>1174</v>
      </c>
      <c r="F85" s="1">
        <v>11</v>
      </c>
      <c r="G85" s="1" t="str">
        <f t="shared" si="5"/>
        <v>Distribution</v>
      </c>
      <c r="H85" s="1" t="s">
        <v>14</v>
      </c>
      <c r="I85" s="1" t="s">
        <v>15</v>
      </c>
      <c r="J85" s="7" t="s">
        <v>687</v>
      </c>
      <c r="K85" s="1">
        <v>0.75</v>
      </c>
      <c r="L85" s="1" t="s">
        <v>1171</v>
      </c>
      <c r="M85" s="1" t="s">
        <v>1175</v>
      </c>
      <c r="N85" s="1" t="s">
        <v>156</v>
      </c>
      <c r="O85" s="1" t="str">
        <f t="shared" si="7"/>
        <v>High</v>
      </c>
      <c r="P85" s="1" t="str">
        <f t="shared" si="6"/>
        <v>Permanent</v>
      </c>
    </row>
    <row r="86" spans="1:16" x14ac:dyDescent="0.3">
      <c r="A86" s="7" t="s">
        <v>1168</v>
      </c>
      <c r="B86" s="12" t="s">
        <v>923</v>
      </c>
      <c r="C86" s="1" t="s">
        <v>1169</v>
      </c>
      <c r="D86" s="1" t="s">
        <v>275</v>
      </c>
      <c r="E86" s="1" t="s">
        <v>1176</v>
      </c>
      <c r="F86" s="1">
        <v>11</v>
      </c>
      <c r="G86" s="1" t="str">
        <f t="shared" si="5"/>
        <v>Distribution</v>
      </c>
      <c r="H86" s="1" t="s">
        <v>14</v>
      </c>
      <c r="I86" s="1" t="s">
        <v>15</v>
      </c>
      <c r="J86" s="7" t="s">
        <v>310</v>
      </c>
      <c r="K86" s="1">
        <v>0</v>
      </c>
      <c r="L86" s="1" t="s">
        <v>1171</v>
      </c>
      <c r="M86" s="1" t="s">
        <v>690</v>
      </c>
      <c r="N86" s="1" t="s">
        <v>156</v>
      </c>
      <c r="O86" s="1" t="str">
        <f t="shared" si="7"/>
        <v>Low</v>
      </c>
      <c r="P86" s="1" t="str">
        <f t="shared" si="6"/>
        <v>Transient</v>
      </c>
    </row>
    <row r="87" spans="1:16" x14ac:dyDescent="0.3">
      <c r="A87" s="7" t="s">
        <v>1092</v>
      </c>
      <c r="B87" s="12" t="s">
        <v>1093</v>
      </c>
      <c r="C87" s="1" t="s">
        <v>1129</v>
      </c>
      <c r="D87" s="1" t="s">
        <v>176</v>
      </c>
      <c r="E87" s="1" t="s">
        <v>1144</v>
      </c>
      <c r="F87" s="1">
        <v>11</v>
      </c>
      <c r="G87" s="1" t="str">
        <f t="shared" si="5"/>
        <v>Distribution</v>
      </c>
      <c r="H87" s="1" t="s">
        <v>14</v>
      </c>
      <c r="I87" s="1" t="s">
        <v>15</v>
      </c>
      <c r="J87" s="7" t="s">
        <v>952</v>
      </c>
      <c r="K87" s="1">
        <v>3.48</v>
      </c>
      <c r="L87" s="1" t="s">
        <v>1137</v>
      </c>
      <c r="M87" s="1" t="s">
        <v>1114</v>
      </c>
      <c r="N87" s="1" t="s">
        <v>156</v>
      </c>
      <c r="O87" s="1" t="str">
        <f t="shared" si="7"/>
        <v>High</v>
      </c>
      <c r="P87" s="1" t="str">
        <f t="shared" si="6"/>
        <v>Permanent</v>
      </c>
    </row>
    <row r="88" spans="1:16" x14ac:dyDescent="0.3">
      <c r="A88" s="7" t="s">
        <v>1092</v>
      </c>
      <c r="B88" s="12" t="s">
        <v>1093</v>
      </c>
      <c r="C88" s="1" t="s">
        <v>1129</v>
      </c>
      <c r="D88" s="1" t="s">
        <v>176</v>
      </c>
      <c r="E88" s="1" t="s">
        <v>1145</v>
      </c>
      <c r="F88" s="1">
        <v>11</v>
      </c>
      <c r="G88" s="1" t="str">
        <f t="shared" si="5"/>
        <v>Distribution</v>
      </c>
      <c r="H88" s="1" t="s">
        <v>14</v>
      </c>
      <c r="I88" s="1" t="s">
        <v>15</v>
      </c>
      <c r="J88" s="7" t="s">
        <v>952</v>
      </c>
      <c r="K88" s="1">
        <v>3.48</v>
      </c>
      <c r="L88" s="1" t="s">
        <v>1137</v>
      </c>
      <c r="M88" s="1" t="s">
        <v>1114</v>
      </c>
      <c r="N88" s="1" t="s">
        <v>156</v>
      </c>
      <c r="O88" s="1" t="str">
        <f t="shared" si="7"/>
        <v>High</v>
      </c>
      <c r="P88" s="1" t="str">
        <f t="shared" si="6"/>
        <v>Permanent</v>
      </c>
    </row>
    <row r="89" spans="1:16" x14ac:dyDescent="0.3">
      <c r="A89" s="7" t="s">
        <v>1092</v>
      </c>
      <c r="B89" s="12" t="s">
        <v>1093</v>
      </c>
      <c r="C89" s="1" t="s">
        <v>1129</v>
      </c>
      <c r="D89" s="1" t="s">
        <v>856</v>
      </c>
      <c r="E89" s="1" t="s">
        <v>1146</v>
      </c>
      <c r="F89" s="1">
        <v>11</v>
      </c>
      <c r="G89" s="1" t="str">
        <f t="shared" si="5"/>
        <v>Distribution</v>
      </c>
      <c r="H89" s="1" t="s">
        <v>14</v>
      </c>
      <c r="I89" s="1" t="s">
        <v>15</v>
      </c>
      <c r="J89" s="7" t="s">
        <v>1147</v>
      </c>
      <c r="K89" s="1">
        <v>4.45</v>
      </c>
      <c r="L89" s="1" t="s">
        <v>1027</v>
      </c>
      <c r="M89" s="1" t="s">
        <v>1148</v>
      </c>
      <c r="N89" s="1" t="s">
        <v>156</v>
      </c>
      <c r="O89" s="1" t="str">
        <f t="shared" si="7"/>
        <v>High</v>
      </c>
      <c r="P89" s="1" t="str">
        <f t="shared" si="6"/>
        <v>Permanent</v>
      </c>
    </row>
    <row r="90" spans="1:16" x14ac:dyDescent="0.3">
      <c r="A90" s="7" t="s">
        <v>1168</v>
      </c>
      <c r="B90" s="12" t="s">
        <v>923</v>
      </c>
      <c r="C90" s="1" t="s">
        <v>1169</v>
      </c>
      <c r="D90" s="1" t="s">
        <v>275</v>
      </c>
      <c r="E90" s="1" t="s">
        <v>1170</v>
      </c>
      <c r="F90" s="1">
        <v>11</v>
      </c>
      <c r="G90" s="1" t="str">
        <f t="shared" si="5"/>
        <v>Distribution</v>
      </c>
      <c r="H90" s="1" t="s">
        <v>14</v>
      </c>
      <c r="I90" s="1" t="s">
        <v>15</v>
      </c>
      <c r="J90" s="7" t="s">
        <v>518</v>
      </c>
      <c r="K90" s="1">
        <v>4.28</v>
      </c>
      <c r="L90" s="1" t="s">
        <v>1171</v>
      </c>
      <c r="M90" s="1" t="s">
        <v>1172</v>
      </c>
      <c r="N90" s="1" t="s">
        <v>156</v>
      </c>
      <c r="O90" s="1" t="str">
        <f t="shared" si="7"/>
        <v>High</v>
      </c>
      <c r="P90" s="1" t="str">
        <f t="shared" si="6"/>
        <v>Permanent</v>
      </c>
    </row>
    <row r="91" spans="1:16" x14ac:dyDescent="0.3">
      <c r="A91" s="7" t="s">
        <v>1168</v>
      </c>
      <c r="B91" s="12" t="s">
        <v>923</v>
      </c>
      <c r="C91" s="1" t="s">
        <v>1169</v>
      </c>
      <c r="D91" s="1" t="s">
        <v>275</v>
      </c>
      <c r="E91" s="1" t="s">
        <v>1173</v>
      </c>
      <c r="F91" s="1">
        <v>11</v>
      </c>
      <c r="G91" s="1" t="str">
        <f t="shared" si="5"/>
        <v>Distribution</v>
      </c>
      <c r="H91" s="1" t="s">
        <v>14</v>
      </c>
      <c r="I91" s="1" t="s">
        <v>15</v>
      </c>
      <c r="J91" s="7" t="s">
        <v>310</v>
      </c>
      <c r="K91" s="1">
        <v>0</v>
      </c>
      <c r="L91" s="1" t="s">
        <v>1171</v>
      </c>
      <c r="M91" s="1" t="s">
        <v>690</v>
      </c>
      <c r="N91" s="1" t="s">
        <v>156</v>
      </c>
      <c r="O91" s="1" t="str">
        <f t="shared" si="7"/>
        <v>Low</v>
      </c>
      <c r="P91" s="1" t="str">
        <f t="shared" si="6"/>
        <v>Transient</v>
      </c>
    </row>
    <row r="92" spans="1:16" x14ac:dyDescent="0.3">
      <c r="A92" s="7" t="s">
        <v>1168</v>
      </c>
      <c r="B92" s="12" t="s">
        <v>923</v>
      </c>
      <c r="C92" s="1" t="s">
        <v>1169</v>
      </c>
      <c r="D92" s="1" t="s">
        <v>275</v>
      </c>
      <c r="E92" s="1" t="s">
        <v>1174</v>
      </c>
      <c r="F92" s="1">
        <v>11</v>
      </c>
      <c r="G92" s="1" t="str">
        <f t="shared" si="5"/>
        <v>Distribution</v>
      </c>
      <c r="H92" s="1" t="s">
        <v>14</v>
      </c>
      <c r="I92" s="1" t="s">
        <v>15</v>
      </c>
      <c r="J92" s="7" t="s">
        <v>687</v>
      </c>
      <c r="K92" s="1">
        <v>0.75</v>
      </c>
      <c r="L92" s="1" t="s">
        <v>1171</v>
      </c>
      <c r="M92" s="1" t="s">
        <v>1175</v>
      </c>
      <c r="N92" s="1" t="s">
        <v>156</v>
      </c>
      <c r="O92" s="1" t="str">
        <f t="shared" si="7"/>
        <v>High</v>
      </c>
      <c r="P92" s="1" t="str">
        <f t="shared" si="6"/>
        <v>Permanent</v>
      </c>
    </row>
    <row r="93" spans="1:16" x14ac:dyDescent="0.3">
      <c r="A93" s="7" t="s">
        <v>1168</v>
      </c>
      <c r="B93" s="12" t="s">
        <v>923</v>
      </c>
      <c r="C93" s="1" t="s">
        <v>1169</v>
      </c>
      <c r="D93" s="1" t="s">
        <v>275</v>
      </c>
      <c r="E93" s="1" t="s">
        <v>1176</v>
      </c>
      <c r="F93" s="1">
        <v>11</v>
      </c>
      <c r="G93" s="1" t="str">
        <f t="shared" si="5"/>
        <v>Distribution</v>
      </c>
      <c r="H93" s="1" t="s">
        <v>14</v>
      </c>
      <c r="I93" s="1" t="s">
        <v>15</v>
      </c>
      <c r="J93" s="7" t="s">
        <v>310</v>
      </c>
      <c r="K93" s="1">
        <v>0</v>
      </c>
      <c r="L93" s="1" t="s">
        <v>1171</v>
      </c>
      <c r="M93" s="1" t="s">
        <v>690</v>
      </c>
      <c r="N93" s="1" t="s">
        <v>156</v>
      </c>
      <c r="O93" s="1" t="str">
        <f t="shared" si="7"/>
        <v>Low</v>
      </c>
      <c r="P93" s="1" t="str">
        <f t="shared" si="6"/>
        <v>Transient</v>
      </c>
    </row>
    <row r="94" spans="1:16" x14ac:dyDescent="0.3">
      <c r="A94" s="7" t="s">
        <v>1177</v>
      </c>
      <c r="B94" s="12" t="s">
        <v>1178</v>
      </c>
      <c r="C94" s="1" t="s">
        <v>1179</v>
      </c>
      <c r="D94" s="1" t="s">
        <v>1180</v>
      </c>
      <c r="E94" s="1" t="s">
        <v>1181</v>
      </c>
      <c r="F94" s="1">
        <v>11</v>
      </c>
      <c r="G94" s="1" t="str">
        <f t="shared" si="5"/>
        <v>Distribution</v>
      </c>
      <c r="H94" s="1" t="s">
        <v>14</v>
      </c>
      <c r="I94" s="1" t="s">
        <v>15</v>
      </c>
      <c r="J94" s="11">
        <v>0.1125</v>
      </c>
      <c r="K94" s="1">
        <v>1.68</v>
      </c>
      <c r="L94" s="1" t="s">
        <v>579</v>
      </c>
      <c r="M94" s="1" t="s">
        <v>1182</v>
      </c>
      <c r="N94" s="1" t="s">
        <v>367</v>
      </c>
      <c r="O94" s="1" t="str">
        <f t="shared" si="7"/>
        <v>High</v>
      </c>
      <c r="P94" s="1" t="str">
        <f t="shared" si="6"/>
        <v>Permanent</v>
      </c>
    </row>
    <row r="95" spans="1:16" x14ac:dyDescent="0.3">
      <c r="A95" s="7" t="s">
        <v>1177</v>
      </c>
      <c r="B95" s="12" t="s">
        <v>1178</v>
      </c>
      <c r="C95" s="1" t="s">
        <v>1179</v>
      </c>
      <c r="D95" s="1" t="s">
        <v>1180</v>
      </c>
      <c r="E95" s="1" t="s">
        <v>1183</v>
      </c>
      <c r="F95" s="1">
        <v>11</v>
      </c>
      <c r="G95" s="1" t="str">
        <f t="shared" si="5"/>
        <v>Distribution</v>
      </c>
      <c r="H95" s="1" t="s">
        <v>14</v>
      </c>
      <c r="I95" s="1" t="s">
        <v>15</v>
      </c>
      <c r="J95" s="11">
        <v>0.1125</v>
      </c>
      <c r="K95" s="1">
        <v>1.68</v>
      </c>
      <c r="L95" s="1" t="s">
        <v>579</v>
      </c>
      <c r="M95" s="1" t="s">
        <v>374</v>
      </c>
      <c r="N95" s="1" t="s">
        <v>367</v>
      </c>
      <c r="O95" s="1" t="str">
        <f t="shared" si="7"/>
        <v>High</v>
      </c>
      <c r="P95" s="1" t="str">
        <f t="shared" si="6"/>
        <v>Permanent</v>
      </c>
    </row>
    <row r="96" spans="1:16" x14ac:dyDescent="0.3">
      <c r="A96" s="7" t="s">
        <v>1177</v>
      </c>
      <c r="B96" s="12" t="s">
        <v>1178</v>
      </c>
      <c r="C96" s="1" t="s">
        <v>1179</v>
      </c>
      <c r="D96" s="1" t="s">
        <v>1180</v>
      </c>
      <c r="E96" s="1" t="s">
        <v>1184</v>
      </c>
      <c r="F96" s="1">
        <v>11</v>
      </c>
      <c r="G96" s="1" t="str">
        <f t="shared" si="5"/>
        <v>Distribution</v>
      </c>
      <c r="H96" s="1" t="s">
        <v>14</v>
      </c>
      <c r="I96" s="1" t="s">
        <v>15</v>
      </c>
      <c r="J96" s="11">
        <v>0.1125</v>
      </c>
      <c r="K96" s="1">
        <v>1.68</v>
      </c>
      <c r="L96" s="1" t="s">
        <v>579</v>
      </c>
      <c r="M96" s="1" t="s">
        <v>374</v>
      </c>
      <c r="N96" s="1" t="s">
        <v>367</v>
      </c>
      <c r="O96" s="1" t="str">
        <f t="shared" si="7"/>
        <v>High</v>
      </c>
      <c r="P96" s="1" t="str">
        <f t="shared" si="6"/>
        <v>Permanent</v>
      </c>
    </row>
    <row r="97" spans="1:16" x14ac:dyDescent="0.3">
      <c r="A97" s="7" t="s">
        <v>1177</v>
      </c>
      <c r="B97" s="12" t="s">
        <v>1178</v>
      </c>
      <c r="C97" s="1" t="s">
        <v>1179</v>
      </c>
      <c r="D97" s="1" t="s">
        <v>1180</v>
      </c>
      <c r="E97" s="1" t="s">
        <v>1185</v>
      </c>
      <c r="F97" s="1">
        <v>11</v>
      </c>
      <c r="G97" s="1" t="str">
        <f t="shared" si="5"/>
        <v>Distribution</v>
      </c>
      <c r="H97" s="1" t="s">
        <v>14</v>
      </c>
      <c r="I97" s="1" t="s">
        <v>15</v>
      </c>
      <c r="J97" s="11">
        <v>0.1125</v>
      </c>
      <c r="K97" s="1">
        <v>1.68</v>
      </c>
      <c r="L97" s="1" t="s">
        <v>579</v>
      </c>
      <c r="M97" s="1" t="s">
        <v>374</v>
      </c>
      <c r="N97" s="1" t="s">
        <v>367</v>
      </c>
      <c r="O97" s="1" t="str">
        <f t="shared" si="7"/>
        <v>High</v>
      </c>
      <c r="P97" s="1" t="str">
        <f t="shared" si="6"/>
        <v>Permanent</v>
      </c>
    </row>
    <row r="98" spans="1:16" x14ac:dyDescent="0.3">
      <c r="A98" s="7" t="s">
        <v>1201</v>
      </c>
      <c r="B98" s="12" t="s">
        <v>1202</v>
      </c>
      <c r="C98" s="1" t="s">
        <v>1203</v>
      </c>
      <c r="D98" s="1" t="s">
        <v>1204</v>
      </c>
      <c r="E98" s="1" t="s">
        <v>1205</v>
      </c>
      <c r="F98" s="1">
        <v>11</v>
      </c>
      <c r="G98" s="1" t="str">
        <f t="shared" si="5"/>
        <v>Distribution</v>
      </c>
      <c r="H98" s="1" t="s">
        <v>21</v>
      </c>
      <c r="I98" s="1" t="s">
        <v>15</v>
      </c>
      <c r="J98" s="7" t="s">
        <v>1206</v>
      </c>
      <c r="K98" s="1">
        <v>1.92</v>
      </c>
      <c r="L98" s="1" t="s">
        <v>1027</v>
      </c>
      <c r="M98" s="1" t="s">
        <v>1207</v>
      </c>
      <c r="N98" s="1" t="s">
        <v>367</v>
      </c>
      <c r="O98" s="1" t="str">
        <f t="shared" si="7"/>
        <v>High</v>
      </c>
      <c r="P98" s="1" t="str">
        <f t="shared" si="6"/>
        <v>Permanent</v>
      </c>
    </row>
    <row r="99" spans="1:16" x14ac:dyDescent="0.3">
      <c r="A99" s="7" t="s">
        <v>1201</v>
      </c>
      <c r="B99" s="12" t="s">
        <v>1202</v>
      </c>
      <c r="C99" s="1" t="s">
        <v>1203</v>
      </c>
      <c r="D99" s="1" t="s">
        <v>1204</v>
      </c>
      <c r="E99" s="1" t="s">
        <v>1208</v>
      </c>
      <c r="F99" s="1">
        <v>11</v>
      </c>
      <c r="G99" s="1" t="str">
        <f t="shared" si="5"/>
        <v>Distribution</v>
      </c>
      <c r="H99" s="1" t="s">
        <v>21</v>
      </c>
      <c r="I99" s="1" t="s">
        <v>15</v>
      </c>
      <c r="J99" s="7" t="s">
        <v>1209</v>
      </c>
      <c r="K99" s="1">
        <v>1.95</v>
      </c>
      <c r="L99" s="1" t="s">
        <v>1027</v>
      </c>
      <c r="M99" s="1" t="s">
        <v>374</v>
      </c>
      <c r="N99" s="1" t="s">
        <v>367</v>
      </c>
      <c r="O99" s="1" t="str">
        <f t="shared" si="7"/>
        <v>High</v>
      </c>
      <c r="P99" s="1" t="str">
        <f t="shared" si="6"/>
        <v>Permanent</v>
      </c>
    </row>
    <row r="100" spans="1:16" x14ac:dyDescent="0.3">
      <c r="A100" s="7" t="s">
        <v>1214</v>
      </c>
      <c r="B100" s="12" t="s">
        <v>1215</v>
      </c>
      <c r="C100" s="1" t="s">
        <v>1216</v>
      </c>
      <c r="D100" s="1" t="s">
        <v>724</v>
      </c>
      <c r="E100" s="1" t="s">
        <v>1217</v>
      </c>
      <c r="F100" s="1">
        <v>11</v>
      </c>
      <c r="G100" s="1" t="str">
        <f t="shared" si="5"/>
        <v>Distribution</v>
      </c>
      <c r="H100" s="1" t="s">
        <v>14</v>
      </c>
      <c r="I100" s="1" t="s">
        <v>15</v>
      </c>
      <c r="J100" s="7" t="s">
        <v>1218</v>
      </c>
      <c r="K100" s="1">
        <v>0.77</v>
      </c>
      <c r="L100" s="1" t="s">
        <v>1219</v>
      </c>
      <c r="M100" s="1" t="s">
        <v>1220</v>
      </c>
      <c r="N100" s="1" t="s">
        <v>367</v>
      </c>
      <c r="O100" s="1" t="str">
        <f t="shared" si="7"/>
        <v>High</v>
      </c>
      <c r="P100" s="1" t="str">
        <f t="shared" si="6"/>
        <v>Permanent</v>
      </c>
    </row>
    <row r="101" spans="1:16" x14ac:dyDescent="0.3">
      <c r="A101" s="7" t="s">
        <v>1214</v>
      </c>
      <c r="B101" s="12" t="s">
        <v>1223</v>
      </c>
      <c r="C101" s="1" t="s">
        <v>1216</v>
      </c>
      <c r="D101" s="1" t="s">
        <v>30</v>
      </c>
      <c r="E101" s="1" t="s">
        <v>1224</v>
      </c>
      <c r="F101" s="1">
        <v>33</v>
      </c>
      <c r="G101" s="1" t="str">
        <f t="shared" si="5"/>
        <v>Distribution</v>
      </c>
      <c r="H101" s="1" t="s">
        <v>21</v>
      </c>
      <c r="I101" s="1" t="s">
        <v>15</v>
      </c>
      <c r="J101" s="7" t="s">
        <v>1225</v>
      </c>
      <c r="K101" s="1">
        <v>3.18</v>
      </c>
      <c r="L101" s="1" t="s">
        <v>1226</v>
      </c>
      <c r="M101" s="1" t="s">
        <v>1227</v>
      </c>
      <c r="N101" s="1" t="s">
        <v>367</v>
      </c>
      <c r="O101" s="1" t="str">
        <f t="shared" si="7"/>
        <v>High</v>
      </c>
      <c r="P101" s="1" t="str">
        <f t="shared" si="6"/>
        <v>Permanent</v>
      </c>
    </row>
    <row r="102" spans="1:16" x14ac:dyDescent="0.3">
      <c r="A102" s="7" t="s">
        <v>1214</v>
      </c>
      <c r="B102" s="12" t="s">
        <v>1223</v>
      </c>
      <c r="C102" s="1" t="s">
        <v>1216</v>
      </c>
      <c r="D102" s="1" t="s">
        <v>30</v>
      </c>
      <c r="E102" s="1" t="s">
        <v>1228</v>
      </c>
      <c r="F102" s="1">
        <v>33</v>
      </c>
      <c r="G102" s="1" t="str">
        <f t="shared" si="5"/>
        <v>Distribution</v>
      </c>
      <c r="H102" s="1" t="s">
        <v>21</v>
      </c>
      <c r="I102" s="1" t="s">
        <v>15</v>
      </c>
      <c r="J102" s="7" t="s">
        <v>1229</v>
      </c>
      <c r="K102" s="1">
        <v>3.25</v>
      </c>
      <c r="L102" s="1" t="s">
        <v>1230</v>
      </c>
      <c r="M102" s="1" t="s">
        <v>1231</v>
      </c>
      <c r="N102" s="1" t="s">
        <v>367</v>
      </c>
      <c r="O102" s="1" t="str">
        <f t="shared" si="7"/>
        <v>High</v>
      </c>
      <c r="P102" s="1" t="str">
        <f t="shared" si="6"/>
        <v>Permanent</v>
      </c>
    </row>
    <row r="103" spans="1:16" x14ac:dyDescent="0.3">
      <c r="A103" s="7" t="s">
        <v>1232</v>
      </c>
      <c r="B103" s="12" t="s">
        <v>1233</v>
      </c>
      <c r="C103" s="1" t="s">
        <v>1234</v>
      </c>
      <c r="D103" s="1" t="s">
        <v>63</v>
      </c>
      <c r="E103" s="1" t="s">
        <v>1235</v>
      </c>
      <c r="F103" s="1">
        <v>33</v>
      </c>
      <c r="G103" s="1" t="str">
        <f t="shared" si="5"/>
        <v>Distribution</v>
      </c>
      <c r="H103" s="1" t="s">
        <v>21</v>
      </c>
      <c r="I103" s="1" t="s">
        <v>15</v>
      </c>
      <c r="J103" s="12" t="s">
        <v>16</v>
      </c>
      <c r="K103" s="1">
        <v>0</v>
      </c>
      <c r="L103" s="1" t="s">
        <v>65</v>
      </c>
      <c r="M103" s="1" t="s">
        <v>1236</v>
      </c>
      <c r="N103" s="1" t="s">
        <v>424</v>
      </c>
      <c r="O103" s="1" t="str">
        <f t="shared" si="7"/>
        <v>Low</v>
      </c>
      <c r="P103" s="1" t="str">
        <f t="shared" si="6"/>
        <v>Transient</v>
      </c>
    </row>
    <row r="104" spans="1:16" x14ac:dyDescent="0.3">
      <c r="A104" s="7" t="s">
        <v>1242</v>
      </c>
      <c r="B104" s="12" t="s">
        <v>1243</v>
      </c>
      <c r="C104" s="1" t="s">
        <v>1244</v>
      </c>
      <c r="D104" s="1" t="s">
        <v>635</v>
      </c>
      <c r="E104" s="1" t="s">
        <v>1245</v>
      </c>
      <c r="F104" s="1">
        <v>11</v>
      </c>
      <c r="G104" s="1" t="str">
        <f t="shared" si="5"/>
        <v>Distribution</v>
      </c>
      <c r="H104" s="1" t="s">
        <v>14</v>
      </c>
      <c r="I104" s="1" t="s">
        <v>15</v>
      </c>
      <c r="J104" s="5" t="s">
        <v>2156</v>
      </c>
      <c r="K104" s="1">
        <v>1.43</v>
      </c>
      <c r="L104" s="1" t="s">
        <v>65</v>
      </c>
      <c r="M104" s="1" t="s">
        <v>1246</v>
      </c>
      <c r="N104" s="1" t="s">
        <v>424</v>
      </c>
      <c r="O104" s="1" t="str">
        <f t="shared" si="7"/>
        <v>High</v>
      </c>
      <c r="P104" s="1" t="str">
        <f t="shared" si="6"/>
        <v>Permanent</v>
      </c>
    </row>
    <row r="105" spans="1:16" x14ac:dyDescent="0.3">
      <c r="A105" s="7" t="s">
        <v>1242</v>
      </c>
      <c r="B105" s="12" t="s">
        <v>1243</v>
      </c>
      <c r="C105" s="1" t="s">
        <v>1244</v>
      </c>
      <c r="D105" s="1" t="s">
        <v>635</v>
      </c>
      <c r="E105" s="1" t="s">
        <v>1247</v>
      </c>
      <c r="F105" s="1">
        <v>11</v>
      </c>
      <c r="G105" s="1" t="str">
        <f t="shared" si="5"/>
        <v>Distribution</v>
      </c>
      <c r="H105" s="1" t="s">
        <v>14</v>
      </c>
      <c r="I105" s="1" t="s">
        <v>15</v>
      </c>
      <c r="J105" s="5" t="s">
        <v>2156</v>
      </c>
      <c r="K105" s="1">
        <v>1.43</v>
      </c>
      <c r="L105" s="1" t="s">
        <v>65</v>
      </c>
      <c r="M105" s="1" t="s">
        <v>374</v>
      </c>
      <c r="N105" s="1" t="s">
        <v>424</v>
      </c>
      <c r="O105" s="1" t="str">
        <f t="shared" si="7"/>
        <v>High</v>
      </c>
      <c r="P105" s="1" t="str">
        <f t="shared" si="6"/>
        <v>Permanent</v>
      </c>
    </row>
    <row r="106" spans="1:16" x14ac:dyDescent="0.3">
      <c r="A106" s="7" t="s">
        <v>1248</v>
      </c>
      <c r="B106" s="12" t="s">
        <v>1215</v>
      </c>
      <c r="C106" s="1" t="s">
        <v>1244</v>
      </c>
      <c r="D106" s="1" t="s">
        <v>724</v>
      </c>
      <c r="E106" s="1" t="s">
        <v>1217</v>
      </c>
      <c r="F106" s="1">
        <v>11</v>
      </c>
      <c r="G106" s="1" t="str">
        <f t="shared" si="5"/>
        <v>Distribution</v>
      </c>
      <c r="H106" s="1" t="s">
        <v>14</v>
      </c>
      <c r="I106" s="1" t="s">
        <v>15</v>
      </c>
      <c r="J106" s="7" t="s">
        <v>1218</v>
      </c>
      <c r="K106" s="1">
        <v>0.77</v>
      </c>
      <c r="L106" s="1" t="s">
        <v>1219</v>
      </c>
      <c r="M106" s="1" t="s">
        <v>1220</v>
      </c>
      <c r="N106" s="1" t="s">
        <v>424</v>
      </c>
      <c r="O106" s="1" t="str">
        <f t="shared" si="7"/>
        <v>High</v>
      </c>
      <c r="P106" s="1" t="str">
        <f t="shared" si="6"/>
        <v>Permanent</v>
      </c>
    </row>
    <row r="107" spans="1:16" x14ac:dyDescent="0.3">
      <c r="A107" s="7" t="s">
        <v>1248</v>
      </c>
      <c r="B107" s="12" t="s">
        <v>1215</v>
      </c>
      <c r="C107" s="1" t="s">
        <v>1244</v>
      </c>
      <c r="D107" s="1" t="s">
        <v>724</v>
      </c>
      <c r="E107" s="1" t="s">
        <v>1221</v>
      </c>
      <c r="F107" s="1">
        <v>11</v>
      </c>
      <c r="G107" s="1" t="str">
        <f t="shared" si="5"/>
        <v>Distribution</v>
      </c>
      <c r="H107" s="1" t="s">
        <v>14</v>
      </c>
      <c r="I107" s="1" t="s">
        <v>15</v>
      </c>
      <c r="J107" s="7" t="s">
        <v>1218</v>
      </c>
      <c r="K107" s="1">
        <v>0.77</v>
      </c>
      <c r="L107" s="1" t="s">
        <v>1219</v>
      </c>
      <c r="M107" s="1" t="s">
        <v>1222</v>
      </c>
      <c r="N107" s="1" t="s">
        <v>424</v>
      </c>
      <c r="O107" s="1" t="str">
        <f t="shared" si="7"/>
        <v>High</v>
      </c>
      <c r="P107" s="1" t="str">
        <f t="shared" si="6"/>
        <v>Permanent</v>
      </c>
    </row>
    <row r="108" spans="1:16" x14ac:dyDescent="0.3">
      <c r="A108" s="7" t="s">
        <v>1249</v>
      </c>
      <c r="B108" s="12" t="s">
        <v>1250</v>
      </c>
      <c r="C108" s="1" t="s">
        <v>1251</v>
      </c>
      <c r="D108" s="1" t="s">
        <v>420</v>
      </c>
      <c r="E108" s="1" t="s">
        <v>1255</v>
      </c>
      <c r="F108" s="1">
        <v>11</v>
      </c>
      <c r="G108" s="1" t="str">
        <f t="shared" si="5"/>
        <v>Distribution</v>
      </c>
      <c r="H108" s="1" t="s">
        <v>21</v>
      </c>
      <c r="I108" s="1" t="s">
        <v>15</v>
      </c>
      <c r="J108" s="7" t="s">
        <v>1253</v>
      </c>
      <c r="K108" s="1">
        <v>1.45</v>
      </c>
      <c r="L108" s="1" t="s">
        <v>48</v>
      </c>
      <c r="M108" s="1" t="s">
        <v>374</v>
      </c>
      <c r="N108" s="1" t="s">
        <v>424</v>
      </c>
      <c r="O108" s="1" t="str">
        <f t="shared" si="7"/>
        <v>High</v>
      </c>
      <c r="P108" s="1" t="str">
        <f t="shared" si="6"/>
        <v>Permanent</v>
      </c>
    </row>
    <row r="109" spans="1:16" x14ac:dyDescent="0.3">
      <c r="A109" s="7" t="s">
        <v>1249</v>
      </c>
      <c r="B109" s="12" t="s">
        <v>1256</v>
      </c>
      <c r="C109" s="1" t="s">
        <v>1251</v>
      </c>
      <c r="D109" s="1" t="s">
        <v>420</v>
      </c>
      <c r="E109" s="1" t="s">
        <v>1257</v>
      </c>
      <c r="F109" s="1">
        <v>11</v>
      </c>
      <c r="G109" s="1" t="str">
        <f t="shared" si="5"/>
        <v>Distribution</v>
      </c>
      <c r="H109" s="1" t="s">
        <v>21</v>
      </c>
      <c r="I109" s="1" t="s">
        <v>15</v>
      </c>
      <c r="J109" s="7" t="s">
        <v>1258</v>
      </c>
      <c r="K109" s="1">
        <v>1.23</v>
      </c>
      <c r="L109" s="1" t="s">
        <v>48</v>
      </c>
      <c r="M109" s="1" t="s">
        <v>1259</v>
      </c>
      <c r="N109" s="1" t="s">
        <v>424</v>
      </c>
      <c r="O109" s="1" t="str">
        <f t="shared" ref="O109:O135" si="8">IF(K109&lt;=0.083,"Low",IF(K109&lt;=0.5,"Medium",IF(K109&gt;0.5,"High")))</f>
        <v>High</v>
      </c>
      <c r="P109" s="1" t="str">
        <f t="shared" si="6"/>
        <v>Permanent</v>
      </c>
    </row>
    <row r="110" spans="1:16" x14ac:dyDescent="0.3">
      <c r="A110" s="7" t="s">
        <v>1249</v>
      </c>
      <c r="B110" s="12" t="s">
        <v>1256</v>
      </c>
      <c r="C110" s="1" t="s">
        <v>1251</v>
      </c>
      <c r="D110" s="1" t="s">
        <v>420</v>
      </c>
      <c r="E110" s="1" t="s">
        <v>1260</v>
      </c>
      <c r="F110" s="1">
        <v>11</v>
      </c>
      <c r="G110" s="1" t="str">
        <f t="shared" si="5"/>
        <v>Distribution</v>
      </c>
      <c r="H110" s="1" t="s">
        <v>21</v>
      </c>
      <c r="I110" s="1" t="s">
        <v>15</v>
      </c>
      <c r="J110" s="7" t="s">
        <v>1261</v>
      </c>
      <c r="K110" s="1">
        <v>1.33</v>
      </c>
      <c r="L110" s="1" t="s">
        <v>48</v>
      </c>
      <c r="M110" s="1" t="s">
        <v>374</v>
      </c>
      <c r="N110" s="1" t="s">
        <v>424</v>
      </c>
      <c r="O110" s="1" t="str">
        <f t="shared" si="8"/>
        <v>High</v>
      </c>
      <c r="P110" s="1" t="str">
        <f t="shared" si="6"/>
        <v>Permanent</v>
      </c>
    </row>
    <row r="111" spans="1:16" x14ac:dyDescent="0.3">
      <c r="A111" s="7" t="s">
        <v>1262</v>
      </c>
      <c r="B111" s="12" t="s">
        <v>1263</v>
      </c>
      <c r="C111" s="1" t="s">
        <v>1264</v>
      </c>
      <c r="D111" s="1" t="s">
        <v>118</v>
      </c>
      <c r="E111" s="1" t="s">
        <v>1265</v>
      </c>
      <c r="F111" s="1">
        <v>11</v>
      </c>
      <c r="G111" s="1" t="str">
        <f t="shared" si="5"/>
        <v>Distribution</v>
      </c>
      <c r="H111" s="1" t="s">
        <v>21</v>
      </c>
      <c r="I111" s="1" t="s">
        <v>15</v>
      </c>
      <c r="J111" s="7" t="s">
        <v>1266</v>
      </c>
      <c r="K111" s="1">
        <v>1.45</v>
      </c>
      <c r="L111" s="1" t="s">
        <v>1267</v>
      </c>
      <c r="M111" s="1" t="s">
        <v>1268</v>
      </c>
      <c r="N111" s="1" t="s">
        <v>424</v>
      </c>
      <c r="O111" s="1" t="str">
        <f t="shared" si="8"/>
        <v>High</v>
      </c>
      <c r="P111" s="1" t="str">
        <f t="shared" si="6"/>
        <v>Permanent</v>
      </c>
    </row>
    <row r="112" spans="1:16" x14ac:dyDescent="0.3">
      <c r="A112" s="7" t="s">
        <v>1262</v>
      </c>
      <c r="B112" s="12" t="s">
        <v>1263</v>
      </c>
      <c r="C112" s="1" t="s">
        <v>1264</v>
      </c>
      <c r="D112" s="1" t="s">
        <v>118</v>
      </c>
      <c r="E112" s="1" t="s">
        <v>1269</v>
      </c>
      <c r="F112" s="1">
        <v>11</v>
      </c>
      <c r="G112" s="1" t="str">
        <f t="shared" si="5"/>
        <v>Distribution</v>
      </c>
      <c r="H112" s="1" t="s">
        <v>21</v>
      </c>
      <c r="I112" s="1" t="s">
        <v>15</v>
      </c>
      <c r="J112" s="7" t="s">
        <v>1266</v>
      </c>
      <c r="K112" s="1">
        <v>1.45</v>
      </c>
      <c r="L112" s="1" t="s">
        <v>1267</v>
      </c>
      <c r="M112" s="1" t="s">
        <v>1270</v>
      </c>
      <c r="N112" s="1" t="s">
        <v>424</v>
      </c>
      <c r="O112" s="1" t="str">
        <f t="shared" si="8"/>
        <v>High</v>
      </c>
      <c r="P112" s="1" t="str">
        <f t="shared" si="6"/>
        <v>Permanent</v>
      </c>
    </row>
    <row r="113" spans="1:17" x14ac:dyDescent="0.3">
      <c r="A113" s="7" t="s">
        <v>1262</v>
      </c>
      <c r="B113" s="12" t="s">
        <v>1263</v>
      </c>
      <c r="C113" s="1" t="s">
        <v>1264</v>
      </c>
      <c r="D113" s="1" t="s">
        <v>118</v>
      </c>
      <c r="E113" s="1" t="s">
        <v>1271</v>
      </c>
      <c r="F113" s="1">
        <v>11</v>
      </c>
      <c r="G113" s="1" t="str">
        <f t="shared" si="5"/>
        <v>Distribution</v>
      </c>
      <c r="H113" s="1" t="s">
        <v>21</v>
      </c>
      <c r="I113" s="1" t="s">
        <v>15</v>
      </c>
      <c r="J113" s="7" t="s">
        <v>1266</v>
      </c>
      <c r="K113" s="1">
        <v>1.45</v>
      </c>
      <c r="L113" s="1" t="s">
        <v>1267</v>
      </c>
      <c r="M113" s="1" t="s">
        <v>1272</v>
      </c>
      <c r="N113" s="1" t="s">
        <v>424</v>
      </c>
      <c r="O113" s="1" t="str">
        <f t="shared" si="8"/>
        <v>High</v>
      </c>
      <c r="P113" s="1" t="str">
        <f t="shared" si="6"/>
        <v>Permanent</v>
      </c>
    </row>
    <row r="114" spans="1:17" x14ac:dyDescent="0.3">
      <c r="A114" s="7" t="s">
        <v>1273</v>
      </c>
      <c r="B114" s="12" t="s">
        <v>1013</v>
      </c>
      <c r="C114" s="1" t="s">
        <v>1274</v>
      </c>
      <c r="D114" s="1" t="s">
        <v>1275</v>
      </c>
      <c r="E114" s="1" t="s">
        <v>1276</v>
      </c>
      <c r="F114" s="1">
        <v>11</v>
      </c>
      <c r="G114" s="1" t="str">
        <f t="shared" si="5"/>
        <v>Distribution</v>
      </c>
      <c r="H114" s="1" t="s">
        <v>21</v>
      </c>
      <c r="I114" s="1" t="s">
        <v>15</v>
      </c>
      <c r="J114" s="7" t="s">
        <v>1277</v>
      </c>
      <c r="K114" s="1">
        <v>0.57999999999999996</v>
      </c>
      <c r="L114" s="1" t="s">
        <v>874</v>
      </c>
      <c r="M114" s="1" t="s">
        <v>1278</v>
      </c>
      <c r="N114" s="1" t="s">
        <v>483</v>
      </c>
      <c r="O114" s="1" t="str">
        <f t="shared" si="8"/>
        <v>High</v>
      </c>
      <c r="P114" s="1" t="str">
        <f t="shared" si="6"/>
        <v>Permanent</v>
      </c>
    </row>
    <row r="115" spans="1:17" x14ac:dyDescent="0.3">
      <c r="A115" s="7" t="s">
        <v>1279</v>
      </c>
      <c r="B115" s="12" t="s">
        <v>1280</v>
      </c>
      <c r="C115" s="1" t="s">
        <v>1281</v>
      </c>
      <c r="D115" s="1" t="s">
        <v>176</v>
      </c>
      <c r="E115" s="1" t="s">
        <v>1284</v>
      </c>
      <c r="F115" s="1">
        <v>11</v>
      </c>
      <c r="G115" s="1" t="str">
        <f t="shared" si="5"/>
        <v>Distribution</v>
      </c>
      <c r="H115" s="1" t="s">
        <v>14</v>
      </c>
      <c r="I115" s="1" t="s">
        <v>64</v>
      </c>
      <c r="J115" s="7" t="s">
        <v>1285</v>
      </c>
      <c r="K115" s="1">
        <v>3.15</v>
      </c>
      <c r="L115" s="1" t="s">
        <v>579</v>
      </c>
      <c r="M115" s="1" t="s">
        <v>1286</v>
      </c>
      <c r="N115" s="1" t="s">
        <v>483</v>
      </c>
      <c r="O115" s="1" t="str">
        <f t="shared" si="8"/>
        <v>High</v>
      </c>
      <c r="P115" s="1" t="str">
        <f t="shared" si="6"/>
        <v>Permanent</v>
      </c>
    </row>
    <row r="116" spans="1:17" x14ac:dyDescent="0.3">
      <c r="A116" s="15" t="s">
        <v>1279</v>
      </c>
      <c r="B116" s="13" t="s">
        <v>1280</v>
      </c>
      <c r="C116" s="8" t="s">
        <v>1281</v>
      </c>
      <c r="D116" s="8" t="s">
        <v>176</v>
      </c>
      <c r="E116" s="8" t="s">
        <v>1287</v>
      </c>
      <c r="F116" s="8">
        <v>11</v>
      </c>
      <c r="G116" s="1" t="str">
        <f t="shared" ref="G116:G174" si="9">IF(F116&gt;=132,"Transmission",IF(F116&gt;=66,"Sub-Transmission","Distribution"))</f>
        <v>Distribution</v>
      </c>
      <c r="H116" s="8" t="s">
        <v>14</v>
      </c>
      <c r="I116" s="8" t="s">
        <v>64</v>
      </c>
      <c r="J116" s="16" t="s">
        <v>2157</v>
      </c>
      <c r="K116" s="8">
        <v>3.15</v>
      </c>
      <c r="L116" s="8" t="s">
        <v>579</v>
      </c>
      <c r="M116" s="8" t="s">
        <v>374</v>
      </c>
      <c r="N116" s="8" t="s">
        <v>483</v>
      </c>
      <c r="O116" s="1" t="str">
        <f t="shared" si="8"/>
        <v>High</v>
      </c>
      <c r="P116" s="1" t="str">
        <f t="shared" ref="P116:P174" si="10">IF(O116="Low","Transient",IF(O116="Medium","Sustained",IF(O116="High","Permanent")))</f>
        <v>Permanent</v>
      </c>
    </row>
    <row r="117" spans="1:17" s="1" customFormat="1" x14ac:dyDescent="0.3">
      <c r="A117" s="7" t="s">
        <v>1288</v>
      </c>
      <c r="B117" s="12" t="s">
        <v>1289</v>
      </c>
      <c r="C117" s="1" t="s">
        <v>1290</v>
      </c>
      <c r="D117" s="1" t="s">
        <v>868</v>
      </c>
      <c r="E117" s="1" t="s">
        <v>1291</v>
      </c>
      <c r="F117" s="1">
        <v>11</v>
      </c>
      <c r="G117" s="1" t="str">
        <f t="shared" si="9"/>
        <v>Distribution</v>
      </c>
      <c r="H117" s="1" t="s">
        <v>21</v>
      </c>
      <c r="I117" s="1" t="s">
        <v>15</v>
      </c>
      <c r="J117" s="7" t="s">
        <v>1292</v>
      </c>
      <c r="K117" s="1">
        <v>1.43</v>
      </c>
      <c r="L117" s="1" t="s">
        <v>17</v>
      </c>
      <c r="M117" s="1" t="s">
        <v>1293</v>
      </c>
      <c r="N117" s="1" t="s">
        <v>483</v>
      </c>
      <c r="O117" s="1" t="str">
        <f t="shared" si="8"/>
        <v>High</v>
      </c>
      <c r="P117" s="1" t="str">
        <f t="shared" si="10"/>
        <v>Permanent</v>
      </c>
    </row>
    <row r="118" spans="1:17" s="1" customFormat="1" x14ac:dyDescent="0.3">
      <c r="A118" s="7" t="s">
        <v>1301</v>
      </c>
      <c r="B118" s="12" t="s">
        <v>1215</v>
      </c>
      <c r="C118" s="1" t="s">
        <v>1302</v>
      </c>
      <c r="D118" s="1" t="s">
        <v>724</v>
      </c>
      <c r="E118" s="1" t="s">
        <v>1217</v>
      </c>
      <c r="F118" s="1">
        <v>11</v>
      </c>
      <c r="G118" s="1" t="str">
        <f t="shared" si="9"/>
        <v>Distribution</v>
      </c>
      <c r="H118" s="1" t="s">
        <v>14</v>
      </c>
      <c r="I118" s="1" t="s">
        <v>15</v>
      </c>
      <c r="J118" s="7" t="s">
        <v>1218</v>
      </c>
      <c r="K118" s="1">
        <v>0.77</v>
      </c>
      <c r="L118" s="1" t="s">
        <v>1219</v>
      </c>
      <c r="M118" s="1" t="s">
        <v>1220</v>
      </c>
      <c r="N118" s="1" t="s">
        <v>483</v>
      </c>
      <c r="O118" s="1" t="str">
        <f t="shared" si="8"/>
        <v>High</v>
      </c>
      <c r="P118" s="1" t="str">
        <f t="shared" si="10"/>
        <v>Permanent</v>
      </c>
    </row>
    <row r="119" spans="1:17" s="1" customFormat="1" x14ac:dyDescent="0.3">
      <c r="A119" s="7" t="s">
        <v>1301</v>
      </c>
      <c r="B119" s="12" t="s">
        <v>1215</v>
      </c>
      <c r="C119" s="1" t="s">
        <v>1302</v>
      </c>
      <c r="D119" s="1" t="s">
        <v>724</v>
      </c>
      <c r="E119" s="1" t="s">
        <v>1221</v>
      </c>
      <c r="F119" s="1">
        <v>11</v>
      </c>
      <c r="G119" s="1" t="str">
        <f t="shared" si="9"/>
        <v>Distribution</v>
      </c>
      <c r="H119" s="1" t="s">
        <v>14</v>
      </c>
      <c r="I119" s="1" t="s">
        <v>15</v>
      </c>
      <c r="J119" s="7" t="s">
        <v>1218</v>
      </c>
      <c r="K119" s="1">
        <v>0.77</v>
      </c>
      <c r="L119" s="1" t="s">
        <v>1219</v>
      </c>
      <c r="M119" s="1" t="s">
        <v>1222</v>
      </c>
      <c r="N119" s="1" t="s">
        <v>483</v>
      </c>
      <c r="O119" s="1" t="str">
        <f t="shared" si="8"/>
        <v>High</v>
      </c>
      <c r="P119" s="1" t="str">
        <f t="shared" si="10"/>
        <v>Permanent</v>
      </c>
    </row>
    <row r="120" spans="1:17" s="1" customFormat="1" x14ac:dyDescent="0.3">
      <c r="A120" s="7" t="s">
        <v>1324</v>
      </c>
      <c r="B120" s="12" t="s">
        <v>1325</v>
      </c>
      <c r="C120" s="1" t="s">
        <v>1326</v>
      </c>
      <c r="D120" s="1" t="s">
        <v>176</v>
      </c>
      <c r="E120" s="1" t="s">
        <v>1284</v>
      </c>
      <c r="F120" s="1">
        <v>11</v>
      </c>
      <c r="G120" s="1" t="str">
        <f t="shared" si="9"/>
        <v>Distribution</v>
      </c>
      <c r="H120" s="1" t="s">
        <v>14</v>
      </c>
      <c r="I120" s="1" t="s">
        <v>15</v>
      </c>
      <c r="J120" s="17" t="s">
        <v>1347</v>
      </c>
      <c r="K120" s="1">
        <v>1.1299999999999999</v>
      </c>
      <c r="L120" s="1" t="s">
        <v>1090</v>
      </c>
      <c r="M120" s="1" t="s">
        <v>1327</v>
      </c>
      <c r="N120" s="1" t="s">
        <v>483</v>
      </c>
      <c r="O120" s="1" t="str">
        <f t="shared" si="8"/>
        <v>High</v>
      </c>
      <c r="P120" s="1" t="str">
        <f t="shared" si="10"/>
        <v>Permanent</v>
      </c>
    </row>
    <row r="121" spans="1:17" x14ac:dyDescent="0.3">
      <c r="A121" s="7" t="s">
        <v>1324</v>
      </c>
      <c r="B121" s="12" t="s">
        <v>1325</v>
      </c>
      <c r="C121" s="1" t="s">
        <v>1326</v>
      </c>
      <c r="D121" s="1" t="s">
        <v>176</v>
      </c>
      <c r="E121" s="1" t="s">
        <v>1287</v>
      </c>
      <c r="F121" s="1">
        <v>11</v>
      </c>
      <c r="G121" s="1" t="str">
        <f t="shared" si="9"/>
        <v>Distribution</v>
      </c>
      <c r="H121" s="1" t="s">
        <v>14</v>
      </c>
      <c r="I121" s="1" t="s">
        <v>15</v>
      </c>
      <c r="J121" s="17" t="s">
        <v>1347</v>
      </c>
      <c r="K121" s="1">
        <v>1.1299999999999999</v>
      </c>
      <c r="L121" s="1" t="s">
        <v>1090</v>
      </c>
      <c r="M121" s="1" t="s">
        <v>374</v>
      </c>
      <c r="N121" s="1" t="s">
        <v>483</v>
      </c>
      <c r="O121" s="1" t="str">
        <f t="shared" si="8"/>
        <v>High</v>
      </c>
      <c r="P121" s="1" t="str">
        <f t="shared" si="10"/>
        <v>Permanent</v>
      </c>
      <c r="Q121" s="1"/>
    </row>
    <row r="122" spans="1:17" x14ac:dyDescent="0.3">
      <c r="A122" s="7" t="s">
        <v>1324</v>
      </c>
      <c r="B122" s="12" t="s">
        <v>1325</v>
      </c>
      <c r="C122" s="1" t="s">
        <v>1326</v>
      </c>
      <c r="D122" s="1" t="s">
        <v>176</v>
      </c>
      <c r="E122" s="1" t="s">
        <v>1328</v>
      </c>
      <c r="F122" s="1">
        <v>11</v>
      </c>
      <c r="G122" s="1" t="str">
        <f t="shared" si="9"/>
        <v>Distribution</v>
      </c>
      <c r="H122" s="1" t="s">
        <v>14</v>
      </c>
      <c r="I122" s="1" t="s">
        <v>15</v>
      </c>
      <c r="J122" s="11">
        <v>0.46527777777777773</v>
      </c>
      <c r="K122" s="1">
        <v>1.1299999999999999</v>
      </c>
      <c r="L122" s="1" t="s">
        <v>1090</v>
      </c>
      <c r="M122" s="1" t="s">
        <v>1329</v>
      </c>
      <c r="N122" s="1" t="s">
        <v>483</v>
      </c>
      <c r="O122" s="1" t="str">
        <f t="shared" si="8"/>
        <v>High</v>
      </c>
      <c r="P122" s="1" t="str">
        <f t="shared" si="10"/>
        <v>Permanent</v>
      </c>
      <c r="Q122" s="1"/>
    </row>
    <row r="123" spans="1:17" x14ac:dyDescent="0.3">
      <c r="A123" s="7" t="s">
        <v>1330</v>
      </c>
      <c r="B123" s="12" t="s">
        <v>1331</v>
      </c>
      <c r="C123" s="1" t="s">
        <v>1332</v>
      </c>
      <c r="D123" s="1" t="s">
        <v>176</v>
      </c>
      <c r="E123" s="1" t="s">
        <v>1284</v>
      </c>
      <c r="F123" s="1">
        <v>11</v>
      </c>
      <c r="G123" s="1" t="str">
        <f t="shared" si="9"/>
        <v>Distribution</v>
      </c>
      <c r="H123" s="1" t="s">
        <v>14</v>
      </c>
      <c r="I123" s="1" t="s">
        <v>15</v>
      </c>
      <c r="J123" s="7" t="s">
        <v>606</v>
      </c>
      <c r="K123" s="1">
        <v>1.92</v>
      </c>
      <c r="L123" s="1" t="s">
        <v>579</v>
      </c>
      <c r="M123" s="1" t="s">
        <v>1333</v>
      </c>
      <c r="N123" s="1" t="s">
        <v>505</v>
      </c>
      <c r="O123" s="1" t="str">
        <f t="shared" si="8"/>
        <v>High</v>
      </c>
      <c r="P123" s="1" t="str">
        <f t="shared" si="10"/>
        <v>Permanent</v>
      </c>
      <c r="Q123" s="1"/>
    </row>
    <row r="124" spans="1:17" x14ac:dyDescent="0.3">
      <c r="A124" s="7" t="s">
        <v>1330</v>
      </c>
      <c r="B124" s="12" t="s">
        <v>1331</v>
      </c>
      <c r="C124" s="1" t="s">
        <v>1332</v>
      </c>
      <c r="D124" s="1" t="s">
        <v>176</v>
      </c>
      <c r="E124" s="1" t="s">
        <v>1287</v>
      </c>
      <c r="F124" s="1">
        <v>11</v>
      </c>
      <c r="G124" s="1" t="str">
        <f t="shared" si="9"/>
        <v>Distribution</v>
      </c>
      <c r="H124" s="1" t="s">
        <v>14</v>
      </c>
      <c r="I124" s="1" t="s">
        <v>15</v>
      </c>
      <c r="J124" s="7" t="s">
        <v>606</v>
      </c>
      <c r="K124" s="1">
        <v>1.92</v>
      </c>
      <c r="L124" s="1" t="s">
        <v>579</v>
      </c>
      <c r="M124" s="1" t="s">
        <v>374</v>
      </c>
      <c r="N124" s="1" t="s">
        <v>505</v>
      </c>
      <c r="O124" s="1" t="str">
        <f t="shared" si="8"/>
        <v>High</v>
      </c>
      <c r="P124" s="1" t="str">
        <f t="shared" si="10"/>
        <v>Permanent</v>
      </c>
      <c r="Q124" s="1"/>
    </row>
    <row r="125" spans="1:17" x14ac:dyDescent="0.3">
      <c r="A125" s="7" t="s">
        <v>1339</v>
      </c>
      <c r="B125" s="12" t="s">
        <v>1340</v>
      </c>
      <c r="C125" s="1" t="s">
        <v>1341</v>
      </c>
      <c r="D125" s="1" t="s">
        <v>176</v>
      </c>
      <c r="E125" s="1" t="s">
        <v>1287</v>
      </c>
      <c r="F125" s="1">
        <v>11</v>
      </c>
      <c r="G125" s="1" t="str">
        <f t="shared" si="9"/>
        <v>Distribution</v>
      </c>
      <c r="H125" s="1" t="s">
        <v>14</v>
      </c>
      <c r="I125" s="1" t="s">
        <v>15</v>
      </c>
      <c r="J125" s="7" t="s">
        <v>1342</v>
      </c>
      <c r="K125" s="1">
        <v>11.78</v>
      </c>
      <c r="L125" s="1" t="s">
        <v>579</v>
      </c>
      <c r="M125" s="1" t="s">
        <v>374</v>
      </c>
      <c r="N125" s="1" t="s">
        <v>515</v>
      </c>
      <c r="O125" s="1" t="str">
        <f t="shared" si="8"/>
        <v>High</v>
      </c>
      <c r="P125" s="1" t="str">
        <f t="shared" si="10"/>
        <v>Permanent</v>
      </c>
      <c r="Q125" s="1"/>
    </row>
    <row r="126" spans="1:17" x14ac:dyDescent="0.3">
      <c r="A126" s="7" t="s">
        <v>1345</v>
      </c>
      <c r="B126" s="12" t="s">
        <v>1215</v>
      </c>
      <c r="C126" s="1" t="s">
        <v>1344</v>
      </c>
      <c r="D126" s="1" t="s">
        <v>26</v>
      </c>
      <c r="E126" s="1" t="s">
        <v>1349</v>
      </c>
      <c r="F126" s="1">
        <v>6.6</v>
      </c>
      <c r="G126" s="1" t="str">
        <f t="shared" si="9"/>
        <v>Distribution</v>
      </c>
      <c r="H126" s="1" t="s">
        <v>14</v>
      </c>
      <c r="I126" s="1" t="s">
        <v>15</v>
      </c>
      <c r="J126" s="7" t="s">
        <v>1347</v>
      </c>
      <c r="K126" s="1">
        <v>1.05</v>
      </c>
      <c r="L126" s="1" t="s">
        <v>27</v>
      </c>
      <c r="M126" s="1" t="s">
        <v>374</v>
      </c>
      <c r="N126" s="1" t="s">
        <v>515</v>
      </c>
      <c r="O126" s="1" t="str">
        <f t="shared" si="8"/>
        <v>High</v>
      </c>
      <c r="P126" s="1" t="str">
        <f t="shared" si="10"/>
        <v>Permanent</v>
      </c>
      <c r="Q126" s="1"/>
    </row>
    <row r="127" spans="1:17" x14ac:dyDescent="0.3">
      <c r="A127" s="7" t="s">
        <v>1355</v>
      </c>
      <c r="B127" s="12" t="s">
        <v>1356</v>
      </c>
      <c r="C127" s="1" t="s">
        <v>1357</v>
      </c>
      <c r="D127" s="1" t="s">
        <v>1358</v>
      </c>
      <c r="E127" s="1" t="s">
        <v>1364</v>
      </c>
      <c r="F127" s="1">
        <v>11</v>
      </c>
      <c r="G127" s="1" t="str">
        <f t="shared" si="9"/>
        <v>Distribution</v>
      </c>
      <c r="H127" s="1" t="s">
        <v>87</v>
      </c>
      <c r="I127" s="1" t="s">
        <v>15</v>
      </c>
      <c r="J127" s="7" t="s">
        <v>1365</v>
      </c>
      <c r="K127" s="1">
        <v>4.93</v>
      </c>
      <c r="L127" s="1" t="s">
        <v>43</v>
      </c>
      <c r="M127" s="1" t="s">
        <v>374</v>
      </c>
      <c r="N127" s="1" t="s">
        <v>515</v>
      </c>
      <c r="O127" s="1" t="str">
        <f t="shared" si="8"/>
        <v>High</v>
      </c>
      <c r="P127" s="1" t="str">
        <f t="shared" si="10"/>
        <v>Permanent</v>
      </c>
      <c r="Q127" s="1"/>
    </row>
    <row r="128" spans="1:17" x14ac:dyDescent="0.3">
      <c r="A128" s="7" t="s">
        <v>1355</v>
      </c>
      <c r="B128" s="12" t="s">
        <v>1356</v>
      </c>
      <c r="C128" s="1" t="s">
        <v>1357</v>
      </c>
      <c r="D128" s="1" t="s">
        <v>1358</v>
      </c>
      <c r="E128" s="1" t="s">
        <v>1368</v>
      </c>
      <c r="F128" s="1">
        <v>11</v>
      </c>
      <c r="G128" s="1" t="str">
        <f t="shared" si="9"/>
        <v>Distribution</v>
      </c>
      <c r="H128" s="1" t="s">
        <v>87</v>
      </c>
      <c r="I128" s="1" t="s">
        <v>15</v>
      </c>
      <c r="J128" s="7" t="s">
        <v>1365</v>
      </c>
      <c r="K128" s="1">
        <v>4.93</v>
      </c>
      <c r="L128" s="1" t="s">
        <v>43</v>
      </c>
      <c r="M128" s="1" t="s">
        <v>374</v>
      </c>
      <c r="N128" s="1" t="s">
        <v>515</v>
      </c>
      <c r="O128" s="1" t="str">
        <f t="shared" si="8"/>
        <v>High</v>
      </c>
      <c r="P128" s="1" t="str">
        <f t="shared" si="10"/>
        <v>Permanent</v>
      </c>
      <c r="Q128" s="1"/>
    </row>
    <row r="129" spans="1:17" x14ac:dyDescent="0.3">
      <c r="A129" s="7" t="s">
        <v>1369</v>
      </c>
      <c r="B129" s="12" t="s">
        <v>229</v>
      </c>
      <c r="C129" s="1" t="s">
        <v>1373</v>
      </c>
      <c r="D129" s="1" t="s">
        <v>30</v>
      </c>
      <c r="E129" s="1" t="s">
        <v>1354</v>
      </c>
      <c r="F129" s="1">
        <v>33</v>
      </c>
      <c r="G129" s="1" t="str">
        <f t="shared" si="9"/>
        <v>Distribution</v>
      </c>
      <c r="H129" s="1" t="s">
        <v>47</v>
      </c>
      <c r="I129" s="1" t="s">
        <v>15</v>
      </c>
      <c r="J129" s="11">
        <v>0.47152777777777777</v>
      </c>
      <c r="K129" s="1">
        <v>50.38</v>
      </c>
      <c r="L129" s="1" t="s">
        <v>832</v>
      </c>
      <c r="M129" s="1" t="s">
        <v>1374</v>
      </c>
      <c r="N129" s="1" t="s">
        <v>515</v>
      </c>
      <c r="O129" s="1" t="str">
        <f t="shared" si="8"/>
        <v>High</v>
      </c>
      <c r="P129" s="1" t="str">
        <f t="shared" si="10"/>
        <v>Permanent</v>
      </c>
      <c r="Q129" s="1"/>
    </row>
    <row r="130" spans="1:17" x14ac:dyDescent="0.3">
      <c r="A130" s="7" t="s">
        <v>1381</v>
      </c>
      <c r="B130" s="12" t="s">
        <v>1386</v>
      </c>
      <c r="C130" s="1" t="s">
        <v>1387</v>
      </c>
      <c r="D130" s="1" t="s">
        <v>1388</v>
      </c>
      <c r="E130" s="1" t="s">
        <v>1389</v>
      </c>
      <c r="F130" s="1">
        <v>11</v>
      </c>
      <c r="G130" s="1" t="str">
        <f t="shared" si="9"/>
        <v>Distribution</v>
      </c>
      <c r="H130" s="1" t="s">
        <v>14</v>
      </c>
      <c r="I130" s="1" t="s">
        <v>64</v>
      </c>
      <c r="J130" s="7" t="s">
        <v>1390</v>
      </c>
      <c r="K130" s="1">
        <v>2.78</v>
      </c>
      <c r="L130" s="1" t="s">
        <v>1391</v>
      </c>
      <c r="M130" s="1" t="s">
        <v>1392</v>
      </c>
      <c r="N130" s="1" t="s">
        <v>515</v>
      </c>
      <c r="O130" s="1" t="str">
        <f t="shared" si="8"/>
        <v>High</v>
      </c>
      <c r="P130" s="1" t="str">
        <f t="shared" si="10"/>
        <v>Permanent</v>
      </c>
      <c r="Q130" s="1"/>
    </row>
    <row r="131" spans="1:17" x14ac:dyDescent="0.3">
      <c r="A131" s="7" t="s">
        <v>1405</v>
      </c>
      <c r="B131" s="12" t="s">
        <v>746</v>
      </c>
      <c r="C131" s="1" t="s">
        <v>1406</v>
      </c>
      <c r="D131" s="1" t="s">
        <v>26</v>
      </c>
      <c r="E131" s="1" t="s">
        <v>1410</v>
      </c>
      <c r="F131" s="1">
        <v>33</v>
      </c>
      <c r="G131" s="1" t="str">
        <f t="shared" si="9"/>
        <v>Distribution</v>
      </c>
      <c r="H131" s="1" t="s">
        <v>14</v>
      </c>
      <c r="I131" s="1" t="s">
        <v>15</v>
      </c>
      <c r="J131" s="7" t="s">
        <v>1408</v>
      </c>
      <c r="K131" s="1">
        <v>0.93</v>
      </c>
      <c r="L131" s="1" t="s">
        <v>17</v>
      </c>
      <c r="M131" s="1" t="s">
        <v>374</v>
      </c>
      <c r="N131" s="1" t="s">
        <v>604</v>
      </c>
      <c r="O131" s="1" t="str">
        <f t="shared" si="8"/>
        <v>High</v>
      </c>
      <c r="P131" s="1" t="str">
        <f t="shared" si="10"/>
        <v>Permanent</v>
      </c>
      <c r="Q131" s="1"/>
    </row>
    <row r="132" spans="1:17" x14ac:dyDescent="0.3">
      <c r="A132" s="7" t="s">
        <v>1411</v>
      </c>
      <c r="B132" s="12" t="s">
        <v>1412</v>
      </c>
      <c r="C132" s="1" t="s">
        <v>1406</v>
      </c>
      <c r="D132" s="1" t="s">
        <v>1204</v>
      </c>
      <c r="E132" s="1" t="s">
        <v>1413</v>
      </c>
      <c r="F132" s="1">
        <v>11</v>
      </c>
      <c r="G132" s="1" t="str">
        <f t="shared" si="9"/>
        <v>Distribution</v>
      </c>
      <c r="H132" s="1" t="s">
        <v>21</v>
      </c>
      <c r="I132" s="1" t="s">
        <v>15</v>
      </c>
      <c r="J132" s="7" t="s">
        <v>1414</v>
      </c>
      <c r="K132" s="1">
        <v>1.57</v>
      </c>
      <c r="L132" s="1" t="s">
        <v>450</v>
      </c>
      <c r="M132" s="1" t="s">
        <v>1415</v>
      </c>
      <c r="N132" s="1" t="s">
        <v>604</v>
      </c>
      <c r="O132" s="1" t="str">
        <f t="shared" si="8"/>
        <v>High</v>
      </c>
      <c r="P132" s="1" t="str">
        <f t="shared" si="10"/>
        <v>Permanent</v>
      </c>
      <c r="Q132" s="1"/>
    </row>
    <row r="133" spans="1:17" x14ac:dyDescent="0.3">
      <c r="A133" s="7" t="s">
        <v>1416</v>
      </c>
      <c r="B133" s="12" t="s">
        <v>1417</v>
      </c>
      <c r="C133" s="1" t="s">
        <v>1418</v>
      </c>
      <c r="D133" s="1" t="s">
        <v>1419</v>
      </c>
      <c r="E133" s="1" t="s">
        <v>1420</v>
      </c>
      <c r="F133" s="1">
        <v>11</v>
      </c>
      <c r="G133" s="1" t="str">
        <f t="shared" si="9"/>
        <v>Distribution</v>
      </c>
      <c r="H133" s="1" t="s">
        <v>14</v>
      </c>
      <c r="I133" s="1" t="s">
        <v>15</v>
      </c>
      <c r="J133" s="7" t="s">
        <v>1421</v>
      </c>
      <c r="K133" s="1">
        <v>1.35</v>
      </c>
      <c r="L133" s="1" t="s">
        <v>579</v>
      </c>
      <c r="M133" s="1" t="s">
        <v>1422</v>
      </c>
      <c r="N133" s="1" t="s">
        <v>604</v>
      </c>
      <c r="O133" s="1" t="str">
        <f t="shared" si="8"/>
        <v>High</v>
      </c>
      <c r="P133" s="1" t="str">
        <f t="shared" si="10"/>
        <v>Permanent</v>
      </c>
      <c r="Q133" s="1"/>
    </row>
    <row r="134" spans="1:17" x14ac:dyDescent="0.3">
      <c r="A134" s="7" t="s">
        <v>1416</v>
      </c>
      <c r="B134" s="12" t="s">
        <v>1417</v>
      </c>
      <c r="C134" s="1" t="s">
        <v>1418</v>
      </c>
      <c r="D134" s="1" t="s">
        <v>1419</v>
      </c>
      <c r="E134" s="1" t="s">
        <v>1423</v>
      </c>
      <c r="F134" s="1">
        <v>11</v>
      </c>
      <c r="G134" s="1" t="str">
        <f t="shared" si="9"/>
        <v>Distribution</v>
      </c>
      <c r="H134" s="1" t="s">
        <v>14</v>
      </c>
      <c r="I134" s="1" t="s">
        <v>15</v>
      </c>
      <c r="J134" s="7" t="s">
        <v>1421</v>
      </c>
      <c r="K134" s="1">
        <v>1.35</v>
      </c>
      <c r="L134" s="1" t="s">
        <v>579</v>
      </c>
      <c r="M134" s="1" t="s">
        <v>374</v>
      </c>
      <c r="N134" s="1" t="s">
        <v>604</v>
      </c>
      <c r="O134" s="1" t="str">
        <f t="shared" si="8"/>
        <v>High</v>
      </c>
      <c r="P134" s="1" t="str">
        <f t="shared" si="10"/>
        <v>Permanent</v>
      </c>
      <c r="Q134" s="1"/>
    </row>
    <row r="135" spans="1:17" x14ac:dyDescent="0.3">
      <c r="A135" s="7" t="s">
        <v>1416</v>
      </c>
      <c r="B135" s="12" t="s">
        <v>1417</v>
      </c>
      <c r="C135" s="1" t="s">
        <v>1418</v>
      </c>
      <c r="D135" s="1" t="s">
        <v>1419</v>
      </c>
      <c r="E135" s="1" t="s">
        <v>1424</v>
      </c>
      <c r="F135" s="1">
        <v>11</v>
      </c>
      <c r="G135" s="1" t="str">
        <f t="shared" si="9"/>
        <v>Distribution</v>
      </c>
      <c r="H135" s="1" t="s">
        <v>14</v>
      </c>
      <c r="I135" s="1" t="s">
        <v>15</v>
      </c>
      <c r="J135" s="7" t="s">
        <v>1421</v>
      </c>
      <c r="K135" s="1">
        <v>1.35</v>
      </c>
      <c r="L135" s="1" t="s">
        <v>579</v>
      </c>
      <c r="M135" s="1" t="s">
        <v>1425</v>
      </c>
      <c r="N135" s="1" t="s">
        <v>604</v>
      </c>
      <c r="O135" s="1" t="str">
        <f t="shared" si="8"/>
        <v>High</v>
      </c>
      <c r="P135" s="1" t="str">
        <f t="shared" si="10"/>
        <v>Permanent</v>
      </c>
      <c r="Q135" s="1"/>
    </row>
    <row r="136" spans="1:17" x14ac:dyDescent="0.3">
      <c r="A136" s="7" t="s">
        <v>1453</v>
      </c>
      <c r="B136" s="12" t="s">
        <v>1457</v>
      </c>
      <c r="C136" s="1" t="s">
        <v>1458</v>
      </c>
      <c r="D136" s="1" t="s">
        <v>856</v>
      </c>
      <c r="E136" s="1" t="s">
        <v>1461</v>
      </c>
      <c r="F136" s="1">
        <v>11</v>
      </c>
      <c r="G136" s="1" t="str">
        <f t="shared" si="9"/>
        <v>Distribution</v>
      </c>
      <c r="H136" s="1" t="s">
        <v>14</v>
      </c>
      <c r="I136" s="1" t="s">
        <v>15</v>
      </c>
      <c r="J136" s="11">
        <v>4.3750000000000004E-2</v>
      </c>
      <c r="K136" s="1">
        <v>1.45</v>
      </c>
      <c r="L136" s="1" t="s">
        <v>579</v>
      </c>
      <c r="M136" s="1" t="s">
        <v>374</v>
      </c>
      <c r="N136" s="1" t="s">
        <v>695</v>
      </c>
      <c r="O136" s="1" t="str">
        <f t="shared" ref="O136:O146" si="11">IF(K136&lt;=0.083,"Low",IF(K136&lt;=0.5,"Medium",IF(K136&gt;0.5,"High")))</f>
        <v>High</v>
      </c>
      <c r="P136" s="1" t="str">
        <f t="shared" si="10"/>
        <v>Permanent</v>
      </c>
      <c r="Q136" s="1"/>
    </row>
    <row r="137" spans="1:17" x14ac:dyDescent="0.3">
      <c r="A137" s="7" t="s">
        <v>1511</v>
      </c>
      <c r="B137" s="12" t="s">
        <v>1529</v>
      </c>
      <c r="C137" s="1" t="s">
        <v>1534</v>
      </c>
      <c r="D137" s="1" t="s">
        <v>856</v>
      </c>
      <c r="E137" s="1" t="s">
        <v>1535</v>
      </c>
      <c r="F137" s="1">
        <v>11</v>
      </c>
      <c r="G137" s="1" t="str">
        <f t="shared" si="9"/>
        <v>Distribution</v>
      </c>
      <c r="H137" s="1" t="s">
        <v>14</v>
      </c>
      <c r="I137" s="1" t="s">
        <v>15</v>
      </c>
      <c r="J137" s="7" t="s">
        <v>1536</v>
      </c>
      <c r="K137" s="1">
        <v>1.32</v>
      </c>
      <c r="L137" s="1" t="s">
        <v>1537</v>
      </c>
      <c r="M137" s="1" t="s">
        <v>1538</v>
      </c>
      <c r="N137" s="1" t="s">
        <v>695</v>
      </c>
      <c r="O137" s="1" t="str">
        <f t="shared" si="11"/>
        <v>High</v>
      </c>
      <c r="P137" s="1" t="str">
        <f t="shared" si="10"/>
        <v>Permanent</v>
      </c>
      <c r="Q137" s="1"/>
    </row>
    <row r="138" spans="1:17" x14ac:dyDescent="0.3">
      <c r="A138" s="7" t="s">
        <v>1511</v>
      </c>
      <c r="B138" s="12" t="s">
        <v>1529</v>
      </c>
      <c r="C138" s="1" t="s">
        <v>1534</v>
      </c>
      <c r="D138" s="1" t="s">
        <v>856</v>
      </c>
      <c r="E138" s="1" t="s">
        <v>1539</v>
      </c>
      <c r="F138" s="1">
        <v>11</v>
      </c>
      <c r="G138" s="1" t="str">
        <f t="shared" si="9"/>
        <v>Distribution</v>
      </c>
      <c r="H138" s="1" t="s">
        <v>14</v>
      </c>
      <c r="I138" s="1" t="s">
        <v>15</v>
      </c>
      <c r="J138" s="7" t="s">
        <v>1533</v>
      </c>
      <c r="K138" s="1">
        <v>1.32</v>
      </c>
      <c r="L138" s="1" t="s">
        <v>1537</v>
      </c>
      <c r="M138" s="1" t="s">
        <v>374</v>
      </c>
      <c r="N138" s="1" t="s">
        <v>695</v>
      </c>
      <c r="O138" s="1" t="str">
        <f t="shared" si="11"/>
        <v>High</v>
      </c>
      <c r="P138" s="1" t="str">
        <f t="shared" si="10"/>
        <v>Permanent</v>
      </c>
      <c r="Q138" s="1"/>
    </row>
    <row r="139" spans="1:17" x14ac:dyDescent="0.3">
      <c r="A139" s="7" t="s">
        <v>1571</v>
      </c>
      <c r="B139" s="12" t="s">
        <v>1572</v>
      </c>
      <c r="C139" s="1" t="s">
        <v>1573</v>
      </c>
      <c r="D139" s="1" t="s">
        <v>78</v>
      </c>
      <c r="E139" s="1" t="s">
        <v>1586</v>
      </c>
      <c r="F139" s="1">
        <v>11</v>
      </c>
      <c r="G139" s="1" t="str">
        <f t="shared" si="9"/>
        <v>Distribution</v>
      </c>
      <c r="H139" s="1" t="s">
        <v>14</v>
      </c>
      <c r="I139" s="1" t="s">
        <v>15</v>
      </c>
      <c r="J139" s="7" t="s">
        <v>480</v>
      </c>
      <c r="K139" s="1">
        <v>4.57</v>
      </c>
      <c r="L139" s="1" t="s">
        <v>1577</v>
      </c>
      <c r="M139" s="1" t="s">
        <v>898</v>
      </c>
      <c r="N139" s="1" t="s">
        <v>781</v>
      </c>
      <c r="O139" s="1" t="str">
        <f t="shared" si="11"/>
        <v>High</v>
      </c>
      <c r="P139" s="1" t="str">
        <f t="shared" si="10"/>
        <v>Permanent</v>
      </c>
      <c r="Q139" s="1"/>
    </row>
    <row r="140" spans="1:17" x14ac:dyDescent="0.3">
      <c r="A140" s="7" t="s">
        <v>1571</v>
      </c>
      <c r="B140" s="12" t="s">
        <v>1572</v>
      </c>
      <c r="C140" s="1" t="s">
        <v>1573</v>
      </c>
      <c r="D140" s="1" t="s">
        <v>78</v>
      </c>
      <c r="E140" s="1" t="s">
        <v>1589</v>
      </c>
      <c r="F140" s="1">
        <v>11</v>
      </c>
      <c r="G140" s="1" t="str">
        <f t="shared" si="9"/>
        <v>Distribution</v>
      </c>
      <c r="H140" s="1" t="s">
        <v>14</v>
      </c>
      <c r="I140" s="1" t="s">
        <v>15</v>
      </c>
      <c r="J140" s="7" t="s">
        <v>480</v>
      </c>
      <c r="K140" s="1">
        <v>4.57</v>
      </c>
      <c r="L140" s="1" t="s">
        <v>1577</v>
      </c>
      <c r="M140" s="1" t="s">
        <v>898</v>
      </c>
      <c r="N140" s="1" t="s">
        <v>781</v>
      </c>
      <c r="O140" s="1" t="str">
        <f t="shared" si="11"/>
        <v>High</v>
      </c>
      <c r="P140" s="1" t="str">
        <f t="shared" si="10"/>
        <v>Permanent</v>
      </c>
      <c r="Q140" s="1"/>
    </row>
    <row r="141" spans="1:17" x14ac:dyDescent="0.3">
      <c r="A141" s="7" t="s">
        <v>1603</v>
      </c>
      <c r="B141" s="12" t="s">
        <v>1331</v>
      </c>
      <c r="C141" s="1" t="s">
        <v>1604</v>
      </c>
      <c r="D141" s="1" t="s">
        <v>78</v>
      </c>
      <c r="E141" s="1" t="s">
        <v>1589</v>
      </c>
      <c r="F141" s="1">
        <v>11</v>
      </c>
      <c r="G141" s="1" t="str">
        <f t="shared" si="9"/>
        <v>Distribution</v>
      </c>
      <c r="H141" s="1" t="s">
        <v>47</v>
      </c>
      <c r="I141" s="1" t="s">
        <v>15</v>
      </c>
      <c r="J141" s="7" t="s">
        <v>1607</v>
      </c>
      <c r="K141" s="1">
        <v>5.42</v>
      </c>
      <c r="L141" s="1" t="s">
        <v>1608</v>
      </c>
      <c r="M141" s="1" t="s">
        <v>1609</v>
      </c>
      <c r="N141" s="1" t="s">
        <v>781</v>
      </c>
      <c r="O141" s="1" t="str">
        <f t="shared" si="11"/>
        <v>High</v>
      </c>
      <c r="P141" s="1" t="str">
        <f t="shared" si="10"/>
        <v>Permanent</v>
      </c>
      <c r="Q141" s="1"/>
    </row>
    <row r="142" spans="1:17" x14ac:dyDescent="0.3">
      <c r="A142" s="7" t="s">
        <v>1611</v>
      </c>
      <c r="B142" s="12" t="s">
        <v>1209</v>
      </c>
      <c r="C142" s="1" t="s">
        <v>1625</v>
      </c>
      <c r="D142" s="1" t="s">
        <v>420</v>
      </c>
      <c r="E142" s="1" t="s">
        <v>1626</v>
      </c>
      <c r="F142" s="1">
        <v>11</v>
      </c>
      <c r="G142" s="1" t="str">
        <f t="shared" si="9"/>
        <v>Distribution</v>
      </c>
      <c r="H142" s="1" t="s">
        <v>288</v>
      </c>
      <c r="I142" s="1" t="s">
        <v>15</v>
      </c>
      <c r="J142" s="7" t="s">
        <v>1627</v>
      </c>
      <c r="K142" s="1">
        <v>1.37</v>
      </c>
      <c r="L142" s="1" t="s">
        <v>673</v>
      </c>
      <c r="M142" s="1" t="s">
        <v>1628</v>
      </c>
      <c r="N142" s="1" t="s">
        <v>781</v>
      </c>
      <c r="O142" s="1" t="str">
        <f t="shared" si="11"/>
        <v>High</v>
      </c>
      <c r="P142" s="1" t="str">
        <f t="shared" si="10"/>
        <v>Permanent</v>
      </c>
      <c r="Q142" s="1"/>
    </row>
    <row r="143" spans="1:17" x14ac:dyDescent="0.3">
      <c r="A143" s="7" t="s">
        <v>1646</v>
      </c>
      <c r="B143" s="12" t="s">
        <v>1647</v>
      </c>
      <c r="C143" s="1" t="s">
        <v>1648</v>
      </c>
      <c r="D143" s="1" t="s">
        <v>63</v>
      </c>
      <c r="E143" s="1" t="s">
        <v>1649</v>
      </c>
      <c r="F143" s="1">
        <v>11</v>
      </c>
      <c r="G143" s="1" t="str">
        <f t="shared" si="9"/>
        <v>Distribution</v>
      </c>
      <c r="H143" s="1" t="s">
        <v>14</v>
      </c>
      <c r="I143" s="1" t="s">
        <v>31</v>
      </c>
      <c r="J143" s="7" t="s">
        <v>1650</v>
      </c>
      <c r="K143" s="1">
        <v>0.8</v>
      </c>
      <c r="L143" s="1" t="s">
        <v>751</v>
      </c>
      <c r="M143" s="1" t="s">
        <v>1651</v>
      </c>
      <c r="N143" s="1" t="s">
        <v>781</v>
      </c>
      <c r="O143" s="1" t="str">
        <f t="shared" si="11"/>
        <v>High</v>
      </c>
      <c r="P143" s="1" t="str">
        <f t="shared" si="10"/>
        <v>Permanent</v>
      </c>
      <c r="Q143" s="1"/>
    </row>
    <row r="144" spans="1:17" x14ac:dyDescent="0.3">
      <c r="A144" s="7" t="s">
        <v>1646</v>
      </c>
      <c r="B144" s="12" t="s">
        <v>1647</v>
      </c>
      <c r="C144" s="1" t="s">
        <v>1648</v>
      </c>
      <c r="D144" s="1" t="s">
        <v>63</v>
      </c>
      <c r="E144" s="1" t="s">
        <v>1652</v>
      </c>
      <c r="F144" s="1">
        <v>11</v>
      </c>
      <c r="G144" s="1" t="str">
        <f t="shared" si="9"/>
        <v>Distribution</v>
      </c>
      <c r="H144" s="1" t="s">
        <v>14</v>
      </c>
      <c r="I144" s="1" t="s">
        <v>31</v>
      </c>
      <c r="J144" s="7" t="s">
        <v>1653</v>
      </c>
      <c r="K144" s="1">
        <v>1.17</v>
      </c>
      <c r="L144" s="1" t="s">
        <v>751</v>
      </c>
      <c r="M144" s="1" t="s">
        <v>1654</v>
      </c>
      <c r="N144" s="1" t="s">
        <v>781</v>
      </c>
      <c r="O144" s="1" t="str">
        <f t="shared" si="11"/>
        <v>High</v>
      </c>
      <c r="P144" s="1" t="str">
        <f t="shared" si="10"/>
        <v>Permanent</v>
      </c>
    </row>
    <row r="145" spans="1:16" x14ac:dyDescent="0.3">
      <c r="A145" s="7" t="s">
        <v>1705</v>
      </c>
      <c r="B145" s="12" t="s">
        <v>1706</v>
      </c>
      <c r="C145" s="1" t="s">
        <v>1707</v>
      </c>
      <c r="D145" s="1" t="s">
        <v>63</v>
      </c>
      <c r="E145" s="1" t="s">
        <v>1710</v>
      </c>
      <c r="F145" s="1">
        <v>11</v>
      </c>
      <c r="G145" s="1" t="str">
        <f t="shared" si="9"/>
        <v>Distribution</v>
      </c>
      <c r="H145" s="1" t="s">
        <v>14</v>
      </c>
      <c r="I145" s="1" t="s">
        <v>31</v>
      </c>
      <c r="J145" s="7" t="s">
        <v>1544</v>
      </c>
      <c r="K145" s="1">
        <v>0.73</v>
      </c>
      <c r="L145" s="1" t="s">
        <v>309</v>
      </c>
      <c r="M145" s="1" t="s">
        <v>1711</v>
      </c>
      <c r="N145" s="1" t="s">
        <v>781</v>
      </c>
      <c r="O145" s="1" t="str">
        <f t="shared" si="11"/>
        <v>High</v>
      </c>
      <c r="P145" s="1" t="str">
        <f t="shared" si="10"/>
        <v>Permanent</v>
      </c>
    </row>
    <row r="146" spans="1:16" x14ac:dyDescent="0.3">
      <c r="A146" s="7" t="s">
        <v>1705</v>
      </c>
      <c r="B146" s="12" t="s">
        <v>1706</v>
      </c>
      <c r="C146" s="1" t="s">
        <v>1707</v>
      </c>
      <c r="D146" s="1" t="s">
        <v>63</v>
      </c>
      <c r="E146" s="1" t="s">
        <v>1715</v>
      </c>
      <c r="F146" s="1">
        <v>33</v>
      </c>
      <c r="G146" s="1" t="str">
        <f t="shared" si="9"/>
        <v>Distribution</v>
      </c>
      <c r="H146" s="1" t="s">
        <v>14</v>
      </c>
      <c r="I146" s="1" t="s">
        <v>31</v>
      </c>
      <c r="J146" s="7" t="s">
        <v>1713</v>
      </c>
      <c r="K146" s="1">
        <v>0.92</v>
      </c>
      <c r="L146" s="1" t="s">
        <v>17</v>
      </c>
      <c r="M146" s="1" t="s">
        <v>898</v>
      </c>
      <c r="N146" s="1" t="s">
        <v>781</v>
      </c>
      <c r="O146" s="1" t="str">
        <f t="shared" si="11"/>
        <v>High</v>
      </c>
      <c r="P146" s="1" t="str">
        <f t="shared" si="10"/>
        <v>Permanent</v>
      </c>
    </row>
    <row r="147" spans="1:16" x14ac:dyDescent="0.3">
      <c r="A147" s="7" t="s">
        <v>1784</v>
      </c>
      <c r="B147" s="12" t="s">
        <v>1785</v>
      </c>
      <c r="C147" s="1" t="s">
        <v>1786</v>
      </c>
      <c r="D147" s="1" t="s">
        <v>63</v>
      </c>
      <c r="E147" s="1" t="s">
        <v>1787</v>
      </c>
      <c r="F147" s="1">
        <v>11</v>
      </c>
      <c r="G147" s="1" t="str">
        <f t="shared" si="9"/>
        <v>Distribution</v>
      </c>
      <c r="H147" s="1" t="s">
        <v>14</v>
      </c>
      <c r="I147" s="1" t="s">
        <v>15</v>
      </c>
      <c r="J147" s="7" t="s">
        <v>1788</v>
      </c>
      <c r="K147" s="1">
        <v>2.15</v>
      </c>
      <c r="L147" s="1" t="s">
        <v>751</v>
      </c>
      <c r="M147" s="1" t="s">
        <v>1789</v>
      </c>
      <c r="N147" s="1" t="s">
        <v>18</v>
      </c>
      <c r="O147" s="1" t="str">
        <f t="shared" ref="O147:O188" si="12">IF(K147&lt;=0.083,"Low",IF(K147&lt;= 0.5,"Medium",IF(K147&gt;0.5,"High")))</f>
        <v>High</v>
      </c>
      <c r="P147" s="1" t="str">
        <f t="shared" si="10"/>
        <v>Permanent</v>
      </c>
    </row>
    <row r="148" spans="1:16" x14ac:dyDescent="0.3">
      <c r="A148" s="7" t="s">
        <v>1831</v>
      </c>
      <c r="B148" s="12" t="s">
        <v>1832</v>
      </c>
      <c r="C148" s="1" t="s">
        <v>1833</v>
      </c>
      <c r="D148" s="1" t="s">
        <v>176</v>
      </c>
      <c r="E148" s="1" t="s">
        <v>1837</v>
      </c>
      <c r="F148" s="1">
        <v>11</v>
      </c>
      <c r="G148" s="1" t="str">
        <f t="shared" si="9"/>
        <v>Distribution</v>
      </c>
      <c r="H148" s="1" t="s">
        <v>176</v>
      </c>
      <c r="I148" s="1" t="s">
        <v>64</v>
      </c>
      <c r="J148" s="7" t="s">
        <v>1277</v>
      </c>
      <c r="K148" s="1">
        <v>9.18</v>
      </c>
      <c r="L148" s="1" t="s">
        <v>751</v>
      </c>
      <c r="M148" s="1" t="s">
        <v>898</v>
      </c>
      <c r="N148" s="1" t="s">
        <v>92</v>
      </c>
      <c r="O148" s="1" t="str">
        <f t="shared" si="12"/>
        <v>High</v>
      </c>
      <c r="P148" s="1" t="str">
        <f t="shared" si="10"/>
        <v>Permanent</v>
      </c>
    </row>
    <row r="149" spans="1:16" x14ac:dyDescent="0.3">
      <c r="A149" s="7" t="s">
        <v>1884</v>
      </c>
      <c r="B149" s="12" t="s">
        <v>1885</v>
      </c>
      <c r="C149" s="1" t="s">
        <v>1886</v>
      </c>
      <c r="D149" s="1" t="s">
        <v>1887</v>
      </c>
      <c r="E149" s="1" t="s">
        <v>1888</v>
      </c>
      <c r="F149" s="1">
        <v>33</v>
      </c>
      <c r="G149" s="1" t="str">
        <f t="shared" si="9"/>
        <v>Distribution</v>
      </c>
      <c r="H149" s="1" t="s">
        <v>14</v>
      </c>
      <c r="I149" s="1" t="s">
        <v>108</v>
      </c>
      <c r="J149" s="7" t="s">
        <v>666</v>
      </c>
      <c r="K149" s="1">
        <v>0.45</v>
      </c>
      <c r="L149" s="1" t="s">
        <v>1616</v>
      </c>
      <c r="M149" s="1" t="s">
        <v>1889</v>
      </c>
      <c r="N149" s="1" t="s">
        <v>92</v>
      </c>
      <c r="O149" s="1" t="str">
        <f t="shared" si="12"/>
        <v>Medium</v>
      </c>
      <c r="P149" s="1" t="str">
        <f t="shared" si="10"/>
        <v>Sustained</v>
      </c>
    </row>
    <row r="150" spans="1:16" x14ac:dyDescent="0.3">
      <c r="A150" s="7" t="s">
        <v>1884</v>
      </c>
      <c r="B150" s="12" t="s">
        <v>1497</v>
      </c>
      <c r="C150" s="1" t="s">
        <v>1890</v>
      </c>
      <c r="D150" s="1" t="s">
        <v>1891</v>
      </c>
      <c r="E150" s="1" t="s">
        <v>1892</v>
      </c>
      <c r="F150" s="1">
        <v>33</v>
      </c>
      <c r="G150" s="1" t="str">
        <f t="shared" si="9"/>
        <v>Distribution</v>
      </c>
      <c r="H150" s="1" t="s">
        <v>14</v>
      </c>
      <c r="I150" s="1" t="s">
        <v>108</v>
      </c>
      <c r="J150" s="7" t="s">
        <v>666</v>
      </c>
      <c r="K150" s="1">
        <v>0.45</v>
      </c>
      <c r="L150" s="1" t="s">
        <v>1616</v>
      </c>
      <c r="M150" s="1" t="s">
        <v>1889</v>
      </c>
      <c r="N150" s="1" t="s">
        <v>92</v>
      </c>
      <c r="O150" s="1" t="str">
        <f t="shared" si="12"/>
        <v>Medium</v>
      </c>
      <c r="P150" s="1" t="str">
        <f t="shared" si="10"/>
        <v>Sustained</v>
      </c>
    </row>
    <row r="151" spans="1:16" x14ac:dyDescent="0.3">
      <c r="A151" s="7" t="s">
        <v>1927</v>
      </c>
      <c r="B151" s="12" t="s">
        <v>1944</v>
      </c>
      <c r="C151" s="1" t="s">
        <v>1945</v>
      </c>
      <c r="D151" s="1" t="s">
        <v>1180</v>
      </c>
      <c r="E151" s="1" t="s">
        <v>1950</v>
      </c>
      <c r="F151" s="1">
        <v>11</v>
      </c>
      <c r="G151" s="1" t="str">
        <f t="shared" si="9"/>
        <v>Distribution</v>
      </c>
      <c r="H151" s="1" t="s">
        <v>14</v>
      </c>
      <c r="I151" s="1" t="s">
        <v>15</v>
      </c>
      <c r="J151" s="7" t="s">
        <v>1947</v>
      </c>
      <c r="K151" s="1">
        <v>1.17</v>
      </c>
      <c r="L151" s="1" t="s">
        <v>1948</v>
      </c>
      <c r="M151" s="1" t="s">
        <v>898</v>
      </c>
      <c r="N151" s="1" t="s">
        <v>92</v>
      </c>
      <c r="O151" s="1" t="str">
        <f t="shared" si="12"/>
        <v>High</v>
      </c>
      <c r="P151" s="1" t="str">
        <f t="shared" si="10"/>
        <v>Permanent</v>
      </c>
    </row>
    <row r="152" spans="1:16" x14ac:dyDescent="0.3">
      <c r="A152" s="6">
        <v>45718</v>
      </c>
      <c r="B152" s="11">
        <v>0.33194444444444443</v>
      </c>
      <c r="C152" s="1" t="s">
        <v>1958</v>
      </c>
      <c r="D152" s="1" t="s">
        <v>275</v>
      </c>
      <c r="E152" s="1" t="s">
        <v>1959</v>
      </c>
      <c r="F152" s="1">
        <v>11</v>
      </c>
      <c r="G152" s="1" t="str">
        <f t="shared" si="9"/>
        <v>Distribution</v>
      </c>
      <c r="H152" s="1" t="s">
        <v>14</v>
      </c>
      <c r="I152" s="1" t="s">
        <v>31</v>
      </c>
      <c r="J152" s="11">
        <v>9.0972222222222218E-2</v>
      </c>
      <c r="K152" s="7">
        <v>18.22</v>
      </c>
      <c r="L152" s="1" t="s">
        <v>931</v>
      </c>
      <c r="M152" s="1" t="s">
        <v>1960</v>
      </c>
      <c r="N152" s="1" t="s">
        <v>156</v>
      </c>
      <c r="O152" s="1" t="str">
        <f t="shared" si="12"/>
        <v>High</v>
      </c>
      <c r="P152" s="1" t="str">
        <f t="shared" si="10"/>
        <v>Permanent</v>
      </c>
    </row>
    <row r="153" spans="1:16" x14ac:dyDescent="0.3">
      <c r="A153" s="6">
        <v>45725</v>
      </c>
      <c r="B153" s="11">
        <v>0.77083333333333337</v>
      </c>
      <c r="C153" s="1" t="s">
        <v>1971</v>
      </c>
      <c r="D153" s="1" t="s">
        <v>1989</v>
      </c>
      <c r="E153" s="1" t="s">
        <v>1992</v>
      </c>
      <c r="F153" s="1">
        <v>11</v>
      </c>
      <c r="G153" s="1" t="str">
        <f t="shared" si="9"/>
        <v>Distribution</v>
      </c>
      <c r="H153" s="1" t="s">
        <v>14</v>
      </c>
      <c r="I153" s="1" t="s">
        <v>15</v>
      </c>
      <c r="J153" s="11">
        <v>0.82986111111111116</v>
      </c>
      <c r="K153" s="7">
        <v>1.42</v>
      </c>
      <c r="L153" s="1" t="s">
        <v>17</v>
      </c>
      <c r="M153" s="1" t="s">
        <v>374</v>
      </c>
      <c r="N153" s="1" t="s">
        <v>156</v>
      </c>
      <c r="O153" s="1" t="str">
        <f t="shared" si="12"/>
        <v>High</v>
      </c>
      <c r="P153" s="1" t="str">
        <f t="shared" si="10"/>
        <v>Permanent</v>
      </c>
    </row>
    <row r="154" spans="1:16" x14ac:dyDescent="0.3">
      <c r="A154" s="6">
        <v>45729</v>
      </c>
      <c r="B154" s="11">
        <v>0.1986111111111111</v>
      </c>
      <c r="C154" s="1" t="s">
        <v>1996</v>
      </c>
      <c r="D154" s="1" t="s">
        <v>882</v>
      </c>
      <c r="E154" s="1" t="s">
        <v>1997</v>
      </c>
      <c r="F154" s="1">
        <v>11</v>
      </c>
      <c r="G154" s="1" t="str">
        <f t="shared" si="9"/>
        <v>Distribution</v>
      </c>
      <c r="H154" s="1" t="s">
        <v>21</v>
      </c>
      <c r="I154" s="1" t="s">
        <v>64</v>
      </c>
      <c r="J154" s="11">
        <v>0.23819444444444443</v>
      </c>
      <c r="K154" s="7">
        <v>0.95</v>
      </c>
      <c r="L154" s="1" t="s">
        <v>1672</v>
      </c>
      <c r="M154" s="1" t="s">
        <v>1998</v>
      </c>
      <c r="N154" s="1" t="s">
        <v>156</v>
      </c>
      <c r="O154" s="1" t="str">
        <f t="shared" si="12"/>
        <v>High</v>
      </c>
      <c r="P154" s="1" t="str">
        <f t="shared" si="10"/>
        <v>Permanent</v>
      </c>
    </row>
    <row r="155" spans="1:16" x14ac:dyDescent="0.3">
      <c r="A155" s="6">
        <v>45729</v>
      </c>
      <c r="B155" s="11">
        <v>0.26597222222222222</v>
      </c>
      <c r="C155" s="1" t="s">
        <v>1996</v>
      </c>
      <c r="D155" s="1" t="s">
        <v>882</v>
      </c>
      <c r="E155" s="1" t="s">
        <v>1997</v>
      </c>
      <c r="F155" s="1">
        <v>11</v>
      </c>
      <c r="G155" s="1" t="str">
        <f t="shared" si="9"/>
        <v>Distribution</v>
      </c>
      <c r="H155" s="1" t="s">
        <v>21</v>
      </c>
      <c r="I155" s="1" t="s">
        <v>64</v>
      </c>
      <c r="J155" s="11">
        <v>0.29444444444444445</v>
      </c>
      <c r="K155" s="7">
        <v>0.68</v>
      </c>
      <c r="L155" s="1" t="s">
        <v>1672</v>
      </c>
      <c r="M155" s="1" t="s">
        <v>1998</v>
      </c>
      <c r="N155" s="1" t="s">
        <v>156</v>
      </c>
      <c r="O155" s="1" t="str">
        <f t="shared" si="12"/>
        <v>High</v>
      </c>
      <c r="P155" s="1" t="str">
        <f t="shared" si="10"/>
        <v>Permanent</v>
      </c>
    </row>
    <row r="156" spans="1:16" x14ac:dyDescent="0.3">
      <c r="A156" s="6">
        <v>45729</v>
      </c>
      <c r="B156" s="11">
        <v>0.54236111111111107</v>
      </c>
      <c r="C156" s="1" t="s">
        <v>1967</v>
      </c>
      <c r="D156" s="1" t="s">
        <v>868</v>
      </c>
      <c r="E156" s="1" t="s">
        <v>2002</v>
      </c>
      <c r="F156" s="1">
        <v>11</v>
      </c>
      <c r="G156" s="1" t="str">
        <f t="shared" si="9"/>
        <v>Distribution</v>
      </c>
      <c r="H156" s="1" t="s">
        <v>21</v>
      </c>
      <c r="I156" s="1" t="s">
        <v>64</v>
      </c>
      <c r="J156" s="11">
        <v>0.59166666666666667</v>
      </c>
      <c r="K156" s="7">
        <v>1.18</v>
      </c>
      <c r="L156" s="1" t="s">
        <v>2003</v>
      </c>
      <c r="M156" s="1" t="s">
        <v>2004</v>
      </c>
      <c r="N156" s="1" t="s">
        <v>156</v>
      </c>
      <c r="O156" s="1" t="str">
        <f t="shared" si="12"/>
        <v>High</v>
      </c>
      <c r="P156" s="1" t="str">
        <f t="shared" si="10"/>
        <v>Permanent</v>
      </c>
    </row>
    <row r="157" spans="1:16" x14ac:dyDescent="0.3">
      <c r="A157" s="6">
        <v>45729</v>
      </c>
      <c r="B157" s="11">
        <v>0.54236111111111107</v>
      </c>
      <c r="C157" s="1" t="s">
        <v>1967</v>
      </c>
      <c r="D157" s="1" t="s">
        <v>868</v>
      </c>
      <c r="E157" s="1" t="s">
        <v>2005</v>
      </c>
      <c r="F157" s="1">
        <v>11</v>
      </c>
      <c r="G157" s="1" t="str">
        <f t="shared" si="9"/>
        <v>Distribution</v>
      </c>
      <c r="H157" s="1" t="s">
        <v>21</v>
      </c>
      <c r="I157" s="1" t="s">
        <v>64</v>
      </c>
      <c r="J157" s="11">
        <v>0.71736111111111112</v>
      </c>
      <c r="K157" s="7">
        <v>4.2</v>
      </c>
      <c r="L157" s="1" t="s">
        <v>2003</v>
      </c>
      <c r="M157" s="1" t="s">
        <v>2006</v>
      </c>
      <c r="N157" s="1" t="s">
        <v>156</v>
      </c>
      <c r="O157" s="1" t="str">
        <f t="shared" si="12"/>
        <v>High</v>
      </c>
      <c r="P157" s="1" t="str">
        <f t="shared" si="10"/>
        <v>Permanent</v>
      </c>
    </row>
    <row r="158" spans="1:16" x14ac:dyDescent="0.3">
      <c r="A158" s="6">
        <v>45738</v>
      </c>
      <c r="B158" s="11">
        <v>0.62847222222222221</v>
      </c>
      <c r="C158" s="1" t="s">
        <v>2039</v>
      </c>
      <c r="D158" s="1" t="s">
        <v>523</v>
      </c>
      <c r="E158" s="1" t="s">
        <v>2040</v>
      </c>
      <c r="F158" s="1">
        <v>33</v>
      </c>
      <c r="G158" s="1" t="str">
        <f t="shared" si="9"/>
        <v>Distribution</v>
      </c>
      <c r="H158" s="1" t="s">
        <v>47</v>
      </c>
      <c r="I158" s="1" t="s">
        <v>15</v>
      </c>
      <c r="J158" s="11">
        <v>0.6791666666666667</v>
      </c>
      <c r="K158" s="7">
        <v>1.22</v>
      </c>
      <c r="L158" s="1" t="s">
        <v>17</v>
      </c>
      <c r="M158" s="1" t="s">
        <v>2041</v>
      </c>
      <c r="N158" s="1" t="s">
        <v>156</v>
      </c>
      <c r="O158" s="1" t="str">
        <f t="shared" si="12"/>
        <v>High</v>
      </c>
      <c r="P158" s="1" t="str">
        <f t="shared" si="10"/>
        <v>Permanent</v>
      </c>
    </row>
    <row r="159" spans="1:16" x14ac:dyDescent="0.3">
      <c r="A159" s="6">
        <v>45744</v>
      </c>
      <c r="B159" s="11">
        <v>0.83263888888888893</v>
      </c>
      <c r="C159" s="1" t="s">
        <v>2046</v>
      </c>
      <c r="D159" s="1" t="s">
        <v>856</v>
      </c>
      <c r="E159" s="1" t="s">
        <v>2047</v>
      </c>
      <c r="F159" s="1">
        <v>11</v>
      </c>
      <c r="G159" s="1" t="str">
        <f t="shared" si="9"/>
        <v>Distribution</v>
      </c>
      <c r="H159" s="1" t="s">
        <v>14</v>
      </c>
      <c r="I159" s="1" t="s">
        <v>2048</v>
      </c>
      <c r="J159" s="11">
        <v>0.91319444444444442</v>
      </c>
      <c r="K159" s="7">
        <v>1.93</v>
      </c>
      <c r="L159" s="1" t="s">
        <v>17</v>
      </c>
      <c r="M159" s="1" t="s">
        <v>2049</v>
      </c>
      <c r="N159" s="1" t="s">
        <v>156</v>
      </c>
      <c r="O159" s="1" t="str">
        <f t="shared" si="12"/>
        <v>High</v>
      </c>
      <c r="P159" s="1" t="str">
        <f t="shared" si="10"/>
        <v>Permanent</v>
      </c>
    </row>
    <row r="160" spans="1:16" x14ac:dyDescent="0.3">
      <c r="A160" s="6">
        <v>45744</v>
      </c>
      <c r="B160" s="11">
        <v>0.83263888888888893</v>
      </c>
      <c r="C160" s="1" t="s">
        <v>2046</v>
      </c>
      <c r="D160" s="1" t="s">
        <v>856</v>
      </c>
      <c r="E160" s="1" t="s">
        <v>2050</v>
      </c>
      <c r="F160" s="1">
        <v>11</v>
      </c>
      <c r="G160" s="1" t="str">
        <f t="shared" si="9"/>
        <v>Distribution</v>
      </c>
      <c r="H160" s="1" t="s">
        <v>14</v>
      </c>
      <c r="I160" s="1" t="s">
        <v>2048</v>
      </c>
      <c r="J160" s="11">
        <v>0.91319444444444442</v>
      </c>
      <c r="K160" s="7">
        <v>1.93</v>
      </c>
      <c r="L160" s="1" t="s">
        <v>17</v>
      </c>
      <c r="M160" s="1" t="s">
        <v>2049</v>
      </c>
      <c r="N160" s="1" t="s">
        <v>156</v>
      </c>
      <c r="O160" s="1" t="str">
        <f t="shared" si="12"/>
        <v>High</v>
      </c>
      <c r="P160" s="1" t="str">
        <f t="shared" si="10"/>
        <v>Permanent</v>
      </c>
    </row>
    <row r="161" spans="1:16" x14ac:dyDescent="0.3">
      <c r="A161" s="6">
        <v>45756</v>
      </c>
      <c r="B161" s="11">
        <v>0.28194444444444444</v>
      </c>
      <c r="C161" s="1" t="s">
        <v>2058</v>
      </c>
      <c r="D161" s="1" t="s">
        <v>26</v>
      </c>
      <c r="E161" s="1" t="s">
        <v>2061</v>
      </c>
      <c r="F161" s="1">
        <v>33</v>
      </c>
      <c r="G161" s="1" t="str">
        <f t="shared" si="9"/>
        <v>Distribution</v>
      </c>
      <c r="H161" s="1" t="s">
        <v>14</v>
      </c>
      <c r="I161" s="1" t="s">
        <v>31</v>
      </c>
      <c r="J161" s="11">
        <v>0.66874999999999996</v>
      </c>
      <c r="K161" s="7">
        <v>9.2799999999999994</v>
      </c>
      <c r="L161" s="1" t="s">
        <v>360</v>
      </c>
      <c r="M161" s="1" t="s">
        <v>2062</v>
      </c>
      <c r="N161" s="1" t="s">
        <v>278</v>
      </c>
      <c r="O161" s="1" t="str">
        <f t="shared" si="12"/>
        <v>High</v>
      </c>
      <c r="P161" s="1" t="str">
        <f t="shared" si="10"/>
        <v>Permanent</v>
      </c>
    </row>
    <row r="162" spans="1:16" x14ac:dyDescent="0.3">
      <c r="A162" s="6">
        <v>45759</v>
      </c>
      <c r="B162" s="11">
        <v>0.45347222222222222</v>
      </c>
      <c r="C162" s="1" t="s">
        <v>2070</v>
      </c>
      <c r="D162" s="1" t="s">
        <v>26</v>
      </c>
      <c r="E162" s="1" t="s">
        <v>2061</v>
      </c>
      <c r="F162" s="1">
        <v>33</v>
      </c>
      <c r="G162" s="1" t="str">
        <f t="shared" si="9"/>
        <v>Distribution</v>
      </c>
      <c r="H162" s="1" t="s">
        <v>14</v>
      </c>
      <c r="I162" s="1" t="s">
        <v>64</v>
      </c>
      <c r="J162" s="11">
        <v>0.47986111111111113</v>
      </c>
      <c r="K162" s="7">
        <v>0.63</v>
      </c>
      <c r="L162" s="1" t="s">
        <v>360</v>
      </c>
      <c r="M162" s="1" t="s">
        <v>2071</v>
      </c>
      <c r="N162" s="1" t="s">
        <v>278</v>
      </c>
      <c r="O162" s="1" t="str">
        <f t="shared" si="12"/>
        <v>High</v>
      </c>
      <c r="P162" s="1" t="str">
        <f t="shared" si="10"/>
        <v>Permanent</v>
      </c>
    </row>
    <row r="163" spans="1:16" x14ac:dyDescent="0.3">
      <c r="A163" s="6">
        <v>45759</v>
      </c>
      <c r="B163" s="11">
        <v>0.6</v>
      </c>
      <c r="C163" s="1" t="s">
        <v>2072</v>
      </c>
      <c r="D163" s="1" t="s">
        <v>26</v>
      </c>
      <c r="E163" s="1" t="s">
        <v>2061</v>
      </c>
      <c r="F163" s="1">
        <v>33</v>
      </c>
      <c r="G163" s="1" t="str">
        <f t="shared" si="9"/>
        <v>Distribution</v>
      </c>
      <c r="H163" s="1" t="s">
        <v>14</v>
      </c>
      <c r="I163" s="1" t="s">
        <v>64</v>
      </c>
      <c r="J163" s="11">
        <v>0.61875000000000002</v>
      </c>
      <c r="K163" s="7">
        <v>0.45</v>
      </c>
      <c r="L163" s="1" t="s">
        <v>360</v>
      </c>
      <c r="M163" s="1" t="s">
        <v>2071</v>
      </c>
      <c r="N163" s="1" t="s">
        <v>278</v>
      </c>
      <c r="O163" s="1" t="str">
        <f t="shared" si="12"/>
        <v>Medium</v>
      </c>
      <c r="P163" s="1" t="str">
        <f t="shared" si="10"/>
        <v>Sustained</v>
      </c>
    </row>
    <row r="164" spans="1:16" x14ac:dyDescent="0.3">
      <c r="A164" s="6">
        <v>45766</v>
      </c>
      <c r="B164" s="11">
        <v>0.39374999999999999</v>
      </c>
      <c r="C164" s="1" t="s">
        <v>2077</v>
      </c>
      <c r="D164" s="1" t="s">
        <v>1891</v>
      </c>
      <c r="E164" s="1" t="s">
        <v>2078</v>
      </c>
      <c r="F164" s="1">
        <v>11</v>
      </c>
      <c r="G164" s="1" t="str">
        <f t="shared" si="9"/>
        <v>Distribution</v>
      </c>
      <c r="H164" s="1" t="s">
        <v>14</v>
      </c>
      <c r="I164" s="1" t="s">
        <v>64</v>
      </c>
      <c r="J164" s="11">
        <v>0.58680555555555558</v>
      </c>
      <c r="K164" s="7">
        <v>4.63</v>
      </c>
      <c r="L164" s="1" t="s">
        <v>1982</v>
      </c>
      <c r="M164" s="1" t="s">
        <v>2079</v>
      </c>
      <c r="N164" s="1" t="s">
        <v>278</v>
      </c>
      <c r="O164" s="1" t="str">
        <f t="shared" si="12"/>
        <v>High</v>
      </c>
      <c r="P164" s="1" t="str">
        <f t="shared" si="10"/>
        <v>Permanent</v>
      </c>
    </row>
    <row r="165" spans="1:16" x14ac:dyDescent="0.3">
      <c r="A165" s="6">
        <v>45766</v>
      </c>
      <c r="B165" s="11">
        <v>0.39374999999999999</v>
      </c>
      <c r="C165" s="1" t="s">
        <v>2077</v>
      </c>
      <c r="D165" s="1" t="s">
        <v>1891</v>
      </c>
      <c r="E165" s="1" t="s">
        <v>2080</v>
      </c>
      <c r="F165" s="1">
        <v>11</v>
      </c>
      <c r="G165" s="1" t="str">
        <f t="shared" si="9"/>
        <v>Distribution</v>
      </c>
      <c r="H165" s="1" t="s">
        <v>14</v>
      </c>
      <c r="I165" s="1" t="s">
        <v>64</v>
      </c>
      <c r="J165" s="14" t="s">
        <v>2081</v>
      </c>
      <c r="K165" s="7">
        <v>50.4</v>
      </c>
      <c r="L165" s="1" t="s">
        <v>1982</v>
      </c>
      <c r="M165" s="1" t="s">
        <v>2082</v>
      </c>
      <c r="N165" s="1" t="s">
        <v>278</v>
      </c>
      <c r="O165" s="1" t="str">
        <f t="shared" si="12"/>
        <v>High</v>
      </c>
      <c r="P165" s="1" t="str">
        <f t="shared" si="10"/>
        <v>Permanent</v>
      </c>
    </row>
    <row r="166" spans="1:16" x14ac:dyDescent="0.3">
      <c r="A166" s="6">
        <v>45770</v>
      </c>
      <c r="B166" s="11">
        <v>0.92569444444444449</v>
      </c>
      <c r="C166" s="1" t="s">
        <v>2073</v>
      </c>
      <c r="D166" s="1" t="s">
        <v>2090</v>
      </c>
      <c r="E166" s="1" t="s">
        <v>2091</v>
      </c>
      <c r="F166" s="1">
        <v>33</v>
      </c>
      <c r="G166" s="1" t="str">
        <f t="shared" si="9"/>
        <v>Distribution</v>
      </c>
      <c r="H166" s="1" t="s">
        <v>14</v>
      </c>
      <c r="I166" s="1" t="s">
        <v>15</v>
      </c>
      <c r="J166" s="11">
        <v>2.013888888888889E-2</v>
      </c>
      <c r="K166" s="7">
        <v>2.27</v>
      </c>
      <c r="L166" s="1" t="s">
        <v>2092</v>
      </c>
      <c r="M166" s="1" t="s">
        <v>2093</v>
      </c>
      <c r="N166" s="1" t="s">
        <v>278</v>
      </c>
      <c r="O166" s="1" t="str">
        <f t="shared" si="12"/>
        <v>High</v>
      </c>
      <c r="P166" s="1" t="str">
        <f t="shared" si="10"/>
        <v>Permanent</v>
      </c>
    </row>
    <row r="167" spans="1:16" x14ac:dyDescent="0.3">
      <c r="A167" s="6">
        <v>45777</v>
      </c>
      <c r="B167" s="11">
        <v>0.30208333333333331</v>
      </c>
      <c r="C167" s="1" t="s">
        <v>2094</v>
      </c>
      <c r="D167" s="1" t="s">
        <v>26</v>
      </c>
      <c r="E167" s="1" t="s">
        <v>2095</v>
      </c>
      <c r="F167" s="1">
        <v>33</v>
      </c>
      <c r="G167" s="1" t="str">
        <f t="shared" si="9"/>
        <v>Distribution</v>
      </c>
      <c r="H167" s="1" t="s">
        <v>14</v>
      </c>
      <c r="I167" s="1" t="s">
        <v>2096</v>
      </c>
      <c r="J167" s="11">
        <v>0.33541666666666664</v>
      </c>
      <c r="K167" s="7">
        <v>0.8</v>
      </c>
      <c r="L167" s="1" t="s">
        <v>360</v>
      </c>
      <c r="M167" s="1" t="s">
        <v>1231</v>
      </c>
      <c r="N167" s="1" t="s">
        <v>278</v>
      </c>
      <c r="O167" s="1" t="str">
        <f t="shared" si="12"/>
        <v>High</v>
      </c>
      <c r="P167" s="1" t="str">
        <f t="shared" si="10"/>
        <v>Permanent</v>
      </c>
    </row>
    <row r="168" spans="1:16" x14ac:dyDescent="0.3">
      <c r="A168" s="6">
        <v>45777</v>
      </c>
      <c r="B168" s="11">
        <v>0.38333333333333336</v>
      </c>
      <c r="C168" s="1" t="s">
        <v>1727</v>
      </c>
      <c r="D168" s="1" t="s">
        <v>26</v>
      </c>
      <c r="E168" s="1" t="s">
        <v>2097</v>
      </c>
      <c r="F168" s="1">
        <v>33</v>
      </c>
      <c r="G168" s="1" t="str">
        <f t="shared" si="9"/>
        <v>Distribution</v>
      </c>
      <c r="H168" s="1" t="s">
        <v>14</v>
      </c>
      <c r="I168" s="1" t="s">
        <v>2096</v>
      </c>
      <c r="J168" s="11">
        <v>0.39861111111111114</v>
      </c>
      <c r="K168" s="7">
        <v>0.37</v>
      </c>
      <c r="L168" s="1" t="s">
        <v>2098</v>
      </c>
      <c r="M168" s="1" t="s">
        <v>2099</v>
      </c>
      <c r="N168" s="1" t="s">
        <v>278</v>
      </c>
      <c r="O168" s="1" t="str">
        <f t="shared" si="12"/>
        <v>Medium</v>
      </c>
      <c r="P168" s="1" t="str">
        <f t="shared" si="10"/>
        <v>Sustained</v>
      </c>
    </row>
    <row r="169" spans="1:16" x14ac:dyDescent="0.3">
      <c r="A169" s="6">
        <v>45780</v>
      </c>
      <c r="B169" s="11">
        <v>0.43055555555555558</v>
      </c>
      <c r="C169" s="1" t="s">
        <v>2100</v>
      </c>
      <c r="D169" s="1" t="s">
        <v>420</v>
      </c>
      <c r="E169" s="1" t="s">
        <v>2101</v>
      </c>
      <c r="F169" s="1">
        <v>11</v>
      </c>
      <c r="G169" s="1" t="str">
        <f t="shared" si="9"/>
        <v>Distribution</v>
      </c>
      <c r="H169" s="1" t="s">
        <v>21</v>
      </c>
      <c r="I169" s="1" t="s">
        <v>2096</v>
      </c>
      <c r="J169" s="11">
        <v>0.67569444444444449</v>
      </c>
      <c r="K169" s="7">
        <v>5.88</v>
      </c>
      <c r="L169" s="1" t="s">
        <v>2003</v>
      </c>
      <c r="M169" s="1" t="s">
        <v>2102</v>
      </c>
      <c r="N169" s="1" t="s">
        <v>367</v>
      </c>
      <c r="O169" s="1" t="str">
        <f t="shared" si="12"/>
        <v>High</v>
      </c>
      <c r="P169" s="1" t="str">
        <f t="shared" si="10"/>
        <v>Permanent</v>
      </c>
    </row>
    <row r="170" spans="1:16" x14ac:dyDescent="0.3">
      <c r="A170" s="6">
        <v>45780</v>
      </c>
      <c r="B170" s="11">
        <v>0.43055555555555558</v>
      </c>
      <c r="C170" s="1" t="s">
        <v>2100</v>
      </c>
      <c r="D170" s="1" t="s">
        <v>420</v>
      </c>
      <c r="E170" s="1" t="s">
        <v>2103</v>
      </c>
      <c r="F170" s="1">
        <v>11</v>
      </c>
      <c r="G170" s="1" t="str">
        <f t="shared" si="9"/>
        <v>Distribution</v>
      </c>
      <c r="H170" s="1" t="s">
        <v>21</v>
      </c>
      <c r="I170" s="1" t="s">
        <v>2096</v>
      </c>
      <c r="J170" s="11">
        <v>0.67986111111111114</v>
      </c>
      <c r="K170" s="7">
        <v>5.98</v>
      </c>
      <c r="L170" s="1" t="s">
        <v>2003</v>
      </c>
      <c r="M170" s="1" t="s">
        <v>2104</v>
      </c>
      <c r="N170" s="1" t="s">
        <v>367</v>
      </c>
      <c r="O170" s="1" t="str">
        <f t="shared" si="12"/>
        <v>High</v>
      </c>
      <c r="P170" s="1" t="str">
        <f t="shared" si="10"/>
        <v>Permanent</v>
      </c>
    </row>
    <row r="171" spans="1:16" x14ac:dyDescent="0.3">
      <c r="A171" s="6">
        <v>45800</v>
      </c>
      <c r="B171" s="11">
        <v>0.92569444444444449</v>
      </c>
      <c r="C171" s="1" t="s">
        <v>2073</v>
      </c>
      <c r="D171" s="1" t="s">
        <v>2090</v>
      </c>
      <c r="E171" s="1" t="s">
        <v>2091</v>
      </c>
      <c r="F171" s="1">
        <v>33</v>
      </c>
      <c r="G171" s="1" t="str">
        <f t="shared" si="9"/>
        <v>Distribution</v>
      </c>
      <c r="H171" s="1" t="s">
        <v>14</v>
      </c>
      <c r="I171" s="1" t="s">
        <v>15</v>
      </c>
      <c r="J171" s="11">
        <v>2.013888888888889E-2</v>
      </c>
      <c r="K171" s="7">
        <v>2.27</v>
      </c>
      <c r="L171" s="1" t="s">
        <v>2092</v>
      </c>
      <c r="M171" s="1" t="s">
        <v>2093</v>
      </c>
      <c r="N171" s="1" t="s">
        <v>367</v>
      </c>
      <c r="O171" s="1" t="str">
        <f t="shared" si="12"/>
        <v>High</v>
      </c>
      <c r="P171" s="1" t="str">
        <f t="shared" si="10"/>
        <v>Permanent</v>
      </c>
    </row>
    <row r="172" spans="1:16" x14ac:dyDescent="0.3">
      <c r="A172" s="6">
        <v>45816</v>
      </c>
      <c r="B172" s="11">
        <v>0.49444444444444446</v>
      </c>
      <c r="C172" s="1" t="s">
        <v>2135</v>
      </c>
      <c r="D172" s="1" t="s">
        <v>340</v>
      </c>
      <c r="E172" s="1" t="s">
        <v>2136</v>
      </c>
      <c r="F172" s="1">
        <v>11</v>
      </c>
      <c r="G172" s="1" t="str">
        <f t="shared" si="9"/>
        <v>Distribution</v>
      </c>
      <c r="H172" s="1" t="s">
        <v>14</v>
      </c>
      <c r="I172" s="1" t="s">
        <v>15</v>
      </c>
      <c r="J172" s="11">
        <v>0.52152777777777781</v>
      </c>
      <c r="K172" s="1">
        <v>0.65</v>
      </c>
      <c r="L172" s="1" t="s">
        <v>17</v>
      </c>
      <c r="M172" s="1" t="s">
        <v>2137</v>
      </c>
      <c r="N172" s="1" t="s">
        <v>424</v>
      </c>
      <c r="O172" s="1" t="str">
        <f t="shared" si="12"/>
        <v>High</v>
      </c>
      <c r="P172" s="1" t="str">
        <f t="shared" si="10"/>
        <v>Permanent</v>
      </c>
    </row>
    <row r="173" spans="1:16" x14ac:dyDescent="0.3">
      <c r="A173" s="6">
        <v>45816</v>
      </c>
      <c r="B173" s="11">
        <v>0.49444444444444446</v>
      </c>
      <c r="C173" s="1" t="s">
        <v>2135</v>
      </c>
      <c r="D173" s="1" t="s">
        <v>340</v>
      </c>
      <c r="E173" s="1" t="s">
        <v>2138</v>
      </c>
      <c r="F173" s="1">
        <v>11</v>
      </c>
      <c r="G173" s="1" t="str">
        <f t="shared" si="9"/>
        <v>Distribution</v>
      </c>
      <c r="H173" s="1" t="s">
        <v>14</v>
      </c>
      <c r="I173" s="1" t="s">
        <v>15</v>
      </c>
      <c r="J173" s="11">
        <v>0.52152777777777781</v>
      </c>
      <c r="K173" s="1">
        <v>0.65</v>
      </c>
      <c r="L173" s="1" t="s">
        <v>17</v>
      </c>
      <c r="M173" s="1" t="s">
        <v>2139</v>
      </c>
      <c r="N173" s="1" t="s">
        <v>424</v>
      </c>
      <c r="O173" s="1" t="str">
        <f t="shared" si="12"/>
        <v>High</v>
      </c>
      <c r="P173" s="1" t="str">
        <f t="shared" si="10"/>
        <v>Permanent</v>
      </c>
    </row>
    <row r="174" spans="1:16" x14ac:dyDescent="0.3">
      <c r="A174" s="6">
        <v>45833</v>
      </c>
      <c r="B174" s="11">
        <v>0.72986111111111107</v>
      </c>
      <c r="C174" s="1" t="s">
        <v>2150</v>
      </c>
      <c r="D174" s="1" t="s">
        <v>516</v>
      </c>
      <c r="E174" s="1" t="s">
        <v>2154</v>
      </c>
      <c r="F174" s="1">
        <v>33</v>
      </c>
      <c r="G174" s="1" t="str">
        <f t="shared" si="9"/>
        <v>Distribution</v>
      </c>
      <c r="H174" s="1" t="s">
        <v>14</v>
      </c>
      <c r="I174" s="1" t="s">
        <v>15</v>
      </c>
      <c r="J174" s="11">
        <v>0.8666666666666667</v>
      </c>
      <c r="K174" s="1">
        <v>3.28</v>
      </c>
      <c r="L174" s="1" t="s">
        <v>2152</v>
      </c>
      <c r="M174" s="1" t="s">
        <v>2155</v>
      </c>
      <c r="N174" s="1" t="s">
        <v>424</v>
      </c>
      <c r="O174" s="1" t="str">
        <f t="shared" si="12"/>
        <v>High</v>
      </c>
      <c r="P174" s="1" t="str">
        <f t="shared" si="10"/>
        <v>Permanent</v>
      </c>
    </row>
    <row r="175" spans="1:16" x14ac:dyDescent="0.3">
      <c r="A175" s="7" t="s">
        <v>76</v>
      </c>
      <c r="B175" s="10" t="s">
        <v>210</v>
      </c>
      <c r="C175" s="1" t="s">
        <v>77</v>
      </c>
      <c r="D175" s="1" t="s">
        <v>78</v>
      </c>
      <c r="E175" s="1" t="s">
        <v>247</v>
      </c>
      <c r="F175" s="1">
        <v>66</v>
      </c>
      <c r="G175" s="1" t="str">
        <f t="shared" ref="G175:G236" si="13">IF(F175&gt;=132,"Transmission",IF(F175&gt;=66,"Sub-Transmission","Distribution"))</f>
        <v>Sub-Transmission</v>
      </c>
      <c r="H175" s="1" t="s">
        <v>14</v>
      </c>
      <c r="I175" s="1" t="s">
        <v>79</v>
      </c>
      <c r="J175" s="5" t="s">
        <v>225</v>
      </c>
      <c r="K175" s="1">
        <v>1.7669999999999999</v>
      </c>
      <c r="L175" s="1" t="s">
        <v>60</v>
      </c>
      <c r="M175" s="1" t="s">
        <v>80</v>
      </c>
      <c r="N175" s="1" t="s">
        <v>18</v>
      </c>
      <c r="O175" s="1" t="str">
        <f t="shared" si="12"/>
        <v>High</v>
      </c>
      <c r="P175" s="1" t="str">
        <f t="shared" ref="P175:P236" si="14">IF(O175="Low","Transient",IF(O175="Medium","Sustained",IF(O175="High","Permanent")))</f>
        <v>Permanent</v>
      </c>
    </row>
    <row r="176" spans="1:16" x14ac:dyDescent="0.3">
      <c r="A176" s="7" t="s">
        <v>186</v>
      </c>
      <c r="B176" s="11">
        <v>0.57777777777777783</v>
      </c>
      <c r="C176" s="1" t="s">
        <v>187</v>
      </c>
      <c r="D176" s="1" t="s">
        <v>188</v>
      </c>
      <c r="E176" s="1" t="s">
        <v>268</v>
      </c>
      <c r="F176" s="1">
        <v>66</v>
      </c>
      <c r="G176" s="1" t="str">
        <f t="shared" si="13"/>
        <v>Sub-Transmission</v>
      </c>
      <c r="H176" s="1" t="s">
        <v>21</v>
      </c>
      <c r="I176" s="1" t="s">
        <v>15</v>
      </c>
      <c r="J176" s="11">
        <v>0.60833333333333328</v>
      </c>
      <c r="K176" s="1">
        <v>0.73</v>
      </c>
      <c r="L176" s="1" t="s">
        <v>23</v>
      </c>
      <c r="M176" s="1" t="s">
        <v>189</v>
      </c>
      <c r="N176" s="1" t="s">
        <v>156</v>
      </c>
      <c r="O176" s="1" t="str">
        <f t="shared" si="12"/>
        <v>High</v>
      </c>
      <c r="P176" s="1" t="str">
        <f t="shared" si="14"/>
        <v>Permanent</v>
      </c>
    </row>
    <row r="177" spans="1:16" x14ac:dyDescent="0.3">
      <c r="A177" s="7" t="s">
        <v>400</v>
      </c>
      <c r="B177" s="11">
        <v>0.36319444444444443</v>
      </c>
      <c r="C177" s="1" t="s">
        <v>401</v>
      </c>
      <c r="D177" s="1" t="s">
        <v>188</v>
      </c>
      <c r="E177" s="1" t="s">
        <v>402</v>
      </c>
      <c r="F177" s="1">
        <v>66</v>
      </c>
      <c r="G177" s="1" t="str">
        <f t="shared" si="13"/>
        <v>Sub-Transmission</v>
      </c>
      <c r="H177" s="1" t="s">
        <v>21</v>
      </c>
      <c r="I177" s="1" t="s">
        <v>15</v>
      </c>
      <c r="J177" s="11">
        <v>0.36944444444444446</v>
      </c>
      <c r="K177" s="1">
        <v>0.15</v>
      </c>
      <c r="L177" s="1" t="s">
        <v>17</v>
      </c>
      <c r="M177" s="1" t="s">
        <v>403</v>
      </c>
      <c r="N177" s="1" t="s">
        <v>367</v>
      </c>
      <c r="O177" s="1" t="str">
        <f t="shared" si="12"/>
        <v>Medium</v>
      </c>
      <c r="P177" s="1" t="str">
        <f t="shared" si="14"/>
        <v>Sustained</v>
      </c>
    </row>
    <row r="178" spans="1:16" x14ac:dyDescent="0.3">
      <c r="A178" s="6">
        <v>45144</v>
      </c>
      <c r="B178" s="11">
        <v>0.4993055555555555</v>
      </c>
      <c r="C178" s="1" t="s">
        <v>429</v>
      </c>
      <c r="D178" s="1" t="s">
        <v>430</v>
      </c>
      <c r="E178" s="1" t="s">
        <v>431</v>
      </c>
      <c r="F178" s="7">
        <v>66</v>
      </c>
      <c r="G178" s="1" t="str">
        <f t="shared" si="13"/>
        <v>Sub-Transmission</v>
      </c>
      <c r="H178" s="1" t="s">
        <v>47</v>
      </c>
      <c r="I178" s="1" t="s">
        <v>15</v>
      </c>
      <c r="J178" s="11">
        <v>0.53888888888888886</v>
      </c>
      <c r="K178" s="1">
        <v>0.95</v>
      </c>
      <c r="L178" s="1" t="s">
        <v>432</v>
      </c>
      <c r="M178" s="1" t="s">
        <v>433</v>
      </c>
      <c r="N178" s="1" t="s">
        <v>424</v>
      </c>
      <c r="O178" s="1" t="str">
        <f t="shared" si="12"/>
        <v>High</v>
      </c>
      <c r="P178" s="1" t="str">
        <f t="shared" si="14"/>
        <v>Permanent</v>
      </c>
    </row>
    <row r="179" spans="1:16" x14ac:dyDescent="0.3">
      <c r="A179" s="6">
        <v>45144</v>
      </c>
      <c r="B179" s="11">
        <v>0.47152777777777777</v>
      </c>
      <c r="C179" s="1" t="s">
        <v>429</v>
      </c>
      <c r="D179" s="1" t="s">
        <v>52</v>
      </c>
      <c r="E179" s="1" t="s">
        <v>434</v>
      </c>
      <c r="F179" s="7">
        <v>66</v>
      </c>
      <c r="G179" s="1" t="str">
        <f t="shared" si="13"/>
        <v>Sub-Transmission</v>
      </c>
      <c r="H179" s="1" t="s">
        <v>47</v>
      </c>
      <c r="I179" s="1" t="s">
        <v>15</v>
      </c>
      <c r="J179" s="11">
        <v>0.60763888888888895</v>
      </c>
      <c r="K179" s="1">
        <v>3.27</v>
      </c>
      <c r="L179" s="1" t="s">
        <v>109</v>
      </c>
      <c r="M179" s="1" t="s">
        <v>382</v>
      </c>
      <c r="N179" s="1" t="s">
        <v>424</v>
      </c>
      <c r="O179" s="1" t="str">
        <f t="shared" si="12"/>
        <v>High</v>
      </c>
      <c r="P179" s="1" t="str">
        <f t="shared" si="14"/>
        <v>Permanent</v>
      </c>
    </row>
    <row r="180" spans="1:16" x14ac:dyDescent="0.3">
      <c r="A180" s="7" t="s">
        <v>463</v>
      </c>
      <c r="B180" s="11">
        <v>0.72916666666666663</v>
      </c>
      <c r="C180" s="1" t="s">
        <v>464</v>
      </c>
      <c r="D180" s="1" t="s">
        <v>188</v>
      </c>
      <c r="E180" s="1" t="s">
        <v>402</v>
      </c>
      <c r="F180" s="7">
        <v>66</v>
      </c>
      <c r="G180" s="1" t="str">
        <f t="shared" si="13"/>
        <v>Sub-Transmission</v>
      </c>
      <c r="H180" s="1" t="s">
        <v>21</v>
      </c>
      <c r="I180" s="1" t="s">
        <v>15</v>
      </c>
      <c r="J180" s="11">
        <v>0.73541666666666661</v>
      </c>
      <c r="K180" s="1">
        <v>0.15</v>
      </c>
      <c r="L180" s="1" t="s">
        <v>17</v>
      </c>
      <c r="M180" s="1" t="s">
        <v>382</v>
      </c>
      <c r="N180" s="1" t="s">
        <v>424</v>
      </c>
      <c r="O180" s="1" t="str">
        <f t="shared" si="12"/>
        <v>Medium</v>
      </c>
      <c r="P180" s="1" t="str">
        <f t="shared" si="14"/>
        <v>Sustained</v>
      </c>
    </row>
    <row r="181" spans="1:16" x14ac:dyDescent="0.3">
      <c r="A181" s="7" t="s">
        <v>510</v>
      </c>
      <c r="B181" s="12" t="s">
        <v>511</v>
      </c>
      <c r="C181" s="1" t="s">
        <v>464</v>
      </c>
      <c r="D181" s="1" t="s">
        <v>512</v>
      </c>
      <c r="E181" s="1" t="s">
        <v>513</v>
      </c>
      <c r="F181" s="1">
        <v>66</v>
      </c>
      <c r="G181" s="1" t="str">
        <f t="shared" si="13"/>
        <v>Sub-Transmission</v>
      </c>
      <c r="H181" s="1" t="s">
        <v>21</v>
      </c>
      <c r="I181" s="1" t="s">
        <v>15</v>
      </c>
      <c r="J181" s="11">
        <v>0.88194444444444442</v>
      </c>
      <c r="K181" s="1">
        <v>0.2</v>
      </c>
      <c r="L181" s="1" t="s">
        <v>17</v>
      </c>
      <c r="M181" s="1" t="s">
        <v>382</v>
      </c>
      <c r="N181" s="1" t="s">
        <v>505</v>
      </c>
      <c r="O181" s="1" t="str">
        <f t="shared" si="12"/>
        <v>Medium</v>
      </c>
      <c r="P181" s="1" t="str">
        <f t="shared" si="14"/>
        <v>Sustained</v>
      </c>
    </row>
    <row r="182" spans="1:16" x14ac:dyDescent="0.3">
      <c r="A182" s="7" t="s">
        <v>565</v>
      </c>
      <c r="B182" s="12" t="s">
        <v>566</v>
      </c>
      <c r="C182" s="1" t="s">
        <v>567</v>
      </c>
      <c r="D182" s="1" t="s">
        <v>512</v>
      </c>
      <c r="E182" s="1" t="s">
        <v>568</v>
      </c>
      <c r="F182" s="7">
        <v>66</v>
      </c>
      <c r="G182" s="1" t="str">
        <f t="shared" si="13"/>
        <v>Sub-Transmission</v>
      </c>
      <c r="H182" s="1" t="s">
        <v>21</v>
      </c>
      <c r="I182" s="1" t="s">
        <v>15</v>
      </c>
      <c r="J182" s="7" t="s">
        <v>596</v>
      </c>
      <c r="K182" s="1">
        <v>11.43</v>
      </c>
      <c r="L182" s="1" t="s">
        <v>450</v>
      </c>
      <c r="M182" s="1" t="s">
        <v>569</v>
      </c>
      <c r="N182" s="1" t="s">
        <v>515</v>
      </c>
      <c r="O182" s="1" t="str">
        <f t="shared" si="12"/>
        <v>High</v>
      </c>
      <c r="P182" s="1" t="str">
        <f t="shared" si="14"/>
        <v>Permanent</v>
      </c>
    </row>
    <row r="183" spans="1:16" x14ac:dyDescent="0.3">
      <c r="A183" s="7" t="s">
        <v>565</v>
      </c>
      <c r="B183" s="12" t="s">
        <v>566</v>
      </c>
      <c r="C183" s="1" t="s">
        <v>567</v>
      </c>
      <c r="D183" s="1" t="s">
        <v>512</v>
      </c>
      <c r="E183" s="1" t="s">
        <v>570</v>
      </c>
      <c r="F183" s="7">
        <v>66</v>
      </c>
      <c r="G183" s="1" t="str">
        <f t="shared" si="13"/>
        <v>Sub-Transmission</v>
      </c>
      <c r="H183" s="1" t="s">
        <v>21</v>
      </c>
      <c r="I183" s="1" t="s">
        <v>15</v>
      </c>
      <c r="J183" s="7" t="s">
        <v>596</v>
      </c>
      <c r="K183" s="1">
        <v>11.43</v>
      </c>
      <c r="L183" s="1" t="s">
        <v>450</v>
      </c>
      <c r="M183" s="1" t="s">
        <v>569</v>
      </c>
      <c r="N183" s="1" t="s">
        <v>515</v>
      </c>
      <c r="O183" s="1" t="str">
        <f t="shared" si="12"/>
        <v>High</v>
      </c>
      <c r="P183" s="1" t="str">
        <f t="shared" si="14"/>
        <v>Permanent</v>
      </c>
    </row>
    <row r="184" spans="1:16" x14ac:dyDescent="0.3">
      <c r="A184" s="7" t="s">
        <v>621</v>
      </c>
      <c r="B184" s="12" t="s">
        <v>622</v>
      </c>
      <c r="C184" s="1" t="s">
        <v>623</v>
      </c>
      <c r="D184" s="1" t="s">
        <v>512</v>
      </c>
      <c r="E184" s="1" t="s">
        <v>624</v>
      </c>
      <c r="F184" s="1">
        <v>66</v>
      </c>
      <c r="G184" s="1" t="str">
        <f t="shared" si="13"/>
        <v>Sub-Transmission</v>
      </c>
      <c r="H184" s="1" t="s">
        <v>21</v>
      </c>
      <c r="I184" s="1" t="s">
        <v>15</v>
      </c>
      <c r="J184" s="7" t="s">
        <v>625</v>
      </c>
      <c r="K184" s="1">
        <v>1.33</v>
      </c>
      <c r="L184" s="1" t="s">
        <v>43</v>
      </c>
      <c r="M184" s="1" t="s">
        <v>626</v>
      </c>
      <c r="N184" s="1" t="s">
        <v>604</v>
      </c>
      <c r="O184" s="1" t="str">
        <f t="shared" si="12"/>
        <v>High</v>
      </c>
      <c r="P184" s="1" t="str">
        <f t="shared" si="14"/>
        <v>Permanent</v>
      </c>
    </row>
    <row r="185" spans="1:16" x14ac:dyDescent="0.3">
      <c r="A185" s="7" t="s">
        <v>621</v>
      </c>
      <c r="B185" s="12"/>
      <c r="C185" s="1" t="s">
        <v>623</v>
      </c>
      <c r="D185" s="1" t="s">
        <v>512</v>
      </c>
      <c r="E185" s="1" t="s">
        <v>627</v>
      </c>
      <c r="F185" s="1">
        <v>66</v>
      </c>
      <c r="G185" s="1" t="str">
        <f t="shared" si="13"/>
        <v>Sub-Transmission</v>
      </c>
      <c r="H185" s="1" t="s">
        <v>21</v>
      </c>
      <c r="I185" s="1" t="s">
        <v>15</v>
      </c>
      <c r="J185" s="7" t="s">
        <v>625</v>
      </c>
      <c r="K185" s="1">
        <v>1.33</v>
      </c>
      <c r="L185" s="1" t="s">
        <v>43</v>
      </c>
      <c r="M185" s="1" t="s">
        <v>374</v>
      </c>
      <c r="N185" s="1" t="s">
        <v>604</v>
      </c>
      <c r="O185" s="1" t="str">
        <f t="shared" si="12"/>
        <v>High</v>
      </c>
      <c r="P185" s="1" t="str">
        <f t="shared" si="14"/>
        <v>Permanent</v>
      </c>
    </row>
    <row r="186" spans="1:16" x14ac:dyDescent="0.3">
      <c r="A186" s="7" t="s">
        <v>715</v>
      </c>
      <c r="B186" s="12" t="s">
        <v>716</v>
      </c>
      <c r="C186" s="1" t="s">
        <v>717</v>
      </c>
      <c r="D186" s="1" t="s">
        <v>188</v>
      </c>
      <c r="E186" s="1" t="s">
        <v>718</v>
      </c>
      <c r="F186" s="1">
        <v>66</v>
      </c>
      <c r="G186" s="1" t="str">
        <f t="shared" si="13"/>
        <v>Sub-Transmission</v>
      </c>
      <c r="H186" s="1" t="s">
        <v>21</v>
      </c>
      <c r="I186" s="1" t="s">
        <v>15</v>
      </c>
      <c r="J186" s="7" t="s">
        <v>719</v>
      </c>
      <c r="K186" s="1">
        <v>7.0000000000000007E-2</v>
      </c>
      <c r="L186" s="1" t="s">
        <v>17</v>
      </c>
      <c r="M186" s="1" t="s">
        <v>720</v>
      </c>
      <c r="N186" s="1" t="s">
        <v>695</v>
      </c>
      <c r="O186" s="1" t="str">
        <f t="shared" si="12"/>
        <v>Low</v>
      </c>
      <c r="P186" s="1" t="str">
        <f t="shared" si="14"/>
        <v>Transient</v>
      </c>
    </row>
    <row r="187" spans="1:16" x14ac:dyDescent="0.3">
      <c r="A187" s="7" t="s">
        <v>761</v>
      </c>
      <c r="B187" s="12" t="s">
        <v>716</v>
      </c>
      <c r="C187" s="1" t="s">
        <v>717</v>
      </c>
      <c r="D187" s="1" t="s">
        <v>188</v>
      </c>
      <c r="E187" s="1" t="s">
        <v>718</v>
      </c>
      <c r="F187" s="1">
        <v>66</v>
      </c>
      <c r="G187" s="1" t="str">
        <f t="shared" si="13"/>
        <v>Sub-Transmission</v>
      </c>
      <c r="H187" s="1" t="s">
        <v>21</v>
      </c>
      <c r="I187" s="1" t="s">
        <v>15</v>
      </c>
      <c r="J187" s="7" t="s">
        <v>719</v>
      </c>
      <c r="K187" s="1">
        <v>7.0000000000000007E-2</v>
      </c>
      <c r="L187" s="1" t="s">
        <v>17</v>
      </c>
      <c r="M187" s="1" t="s">
        <v>720</v>
      </c>
      <c r="N187" s="1" t="s">
        <v>695</v>
      </c>
      <c r="O187" s="1" t="str">
        <f t="shared" si="12"/>
        <v>Low</v>
      </c>
      <c r="P187" s="1" t="str">
        <f t="shared" si="14"/>
        <v>Transient</v>
      </c>
    </row>
    <row r="188" spans="1:16" x14ac:dyDescent="0.3">
      <c r="A188" s="7" t="s">
        <v>812</v>
      </c>
      <c r="B188" s="12" t="s">
        <v>476</v>
      </c>
      <c r="C188" s="1" t="s">
        <v>813</v>
      </c>
      <c r="D188" s="1" t="s">
        <v>430</v>
      </c>
      <c r="E188" s="1" t="s">
        <v>814</v>
      </c>
      <c r="F188" s="1">
        <v>66</v>
      </c>
      <c r="G188" s="1" t="str">
        <f t="shared" si="13"/>
        <v>Sub-Transmission</v>
      </c>
      <c r="H188" s="1" t="s">
        <v>47</v>
      </c>
      <c r="I188" s="1" t="s">
        <v>108</v>
      </c>
      <c r="J188" s="12" t="s">
        <v>16</v>
      </c>
      <c r="K188" s="1">
        <v>0</v>
      </c>
      <c r="L188" s="1" t="s">
        <v>17</v>
      </c>
      <c r="M188" s="1" t="s">
        <v>815</v>
      </c>
      <c r="N188" s="1" t="s">
        <v>781</v>
      </c>
      <c r="O188" s="1" t="str">
        <f t="shared" si="12"/>
        <v>Low</v>
      </c>
      <c r="P188" s="1" t="str">
        <f t="shared" si="14"/>
        <v>Transient</v>
      </c>
    </row>
    <row r="189" spans="1:16" x14ac:dyDescent="0.3">
      <c r="A189" s="7" t="s">
        <v>946</v>
      </c>
      <c r="B189" s="12" t="s">
        <v>947</v>
      </c>
      <c r="C189" s="1" t="s">
        <v>948</v>
      </c>
      <c r="D189" s="1" t="s">
        <v>26</v>
      </c>
      <c r="E189" s="1" t="s">
        <v>949</v>
      </c>
      <c r="F189" s="1">
        <v>66</v>
      </c>
      <c r="G189" s="1" t="str">
        <f t="shared" si="13"/>
        <v>Sub-Transmission</v>
      </c>
      <c r="H189" s="1" t="s">
        <v>14</v>
      </c>
      <c r="I189" s="1" t="s">
        <v>15</v>
      </c>
      <c r="J189" s="7" t="s">
        <v>538</v>
      </c>
      <c r="K189" s="1">
        <v>1.05</v>
      </c>
      <c r="L189" s="1" t="s">
        <v>360</v>
      </c>
      <c r="M189" s="1" t="s">
        <v>950</v>
      </c>
      <c r="N189" s="1" t="s">
        <v>18</v>
      </c>
      <c r="O189" s="1" t="str">
        <f t="shared" ref="O189:O199" si="15">IF(K189&lt;=0.083,"Low",IF(K189&lt;=0.5,"Medium",IF(K189&gt;0.5,"High")))</f>
        <v>High</v>
      </c>
      <c r="P189" s="1" t="str">
        <f t="shared" si="14"/>
        <v>Permanent</v>
      </c>
    </row>
    <row r="190" spans="1:16" x14ac:dyDescent="0.3">
      <c r="A190" s="7" t="s">
        <v>1092</v>
      </c>
      <c r="B190" s="12" t="s">
        <v>1093</v>
      </c>
      <c r="C190" s="1" t="s">
        <v>1129</v>
      </c>
      <c r="D190" s="1" t="s">
        <v>1130</v>
      </c>
      <c r="E190" s="1" t="s">
        <v>1131</v>
      </c>
      <c r="F190" s="1">
        <v>66</v>
      </c>
      <c r="G190" s="1" t="str">
        <f t="shared" si="13"/>
        <v>Sub-Transmission</v>
      </c>
      <c r="H190" s="1" t="s">
        <v>14</v>
      </c>
      <c r="I190" s="1" t="s">
        <v>15</v>
      </c>
      <c r="J190" s="7" t="s">
        <v>1132</v>
      </c>
      <c r="K190" s="1">
        <v>2.6</v>
      </c>
      <c r="L190" s="1" t="s">
        <v>17</v>
      </c>
      <c r="M190" s="1" t="s">
        <v>1133</v>
      </c>
      <c r="N190" s="1" t="s">
        <v>156</v>
      </c>
      <c r="O190" s="1" t="str">
        <f t="shared" si="15"/>
        <v>High</v>
      </c>
      <c r="P190" s="1" t="str">
        <f t="shared" si="14"/>
        <v>Permanent</v>
      </c>
    </row>
    <row r="191" spans="1:16" x14ac:dyDescent="0.3">
      <c r="A191" s="7" t="s">
        <v>1092</v>
      </c>
      <c r="B191" s="12" t="s">
        <v>1093</v>
      </c>
      <c r="C191" s="1" t="s">
        <v>1129</v>
      </c>
      <c r="D191" s="1" t="s">
        <v>1130</v>
      </c>
      <c r="E191" s="1" t="s">
        <v>1131</v>
      </c>
      <c r="F191" s="1">
        <v>66</v>
      </c>
      <c r="G191" s="1" t="str">
        <f t="shared" si="13"/>
        <v>Sub-Transmission</v>
      </c>
      <c r="H191" s="1" t="s">
        <v>14</v>
      </c>
      <c r="I191" s="1" t="s">
        <v>15</v>
      </c>
      <c r="J191" s="7" t="s">
        <v>1132</v>
      </c>
      <c r="K191" s="1">
        <v>2.6</v>
      </c>
      <c r="L191" s="1" t="s">
        <v>17</v>
      </c>
      <c r="M191" s="1" t="s">
        <v>1133</v>
      </c>
      <c r="N191" s="1" t="s">
        <v>156</v>
      </c>
      <c r="O191" s="1" t="str">
        <f t="shared" si="15"/>
        <v>High</v>
      </c>
      <c r="P191" s="1" t="str">
        <f t="shared" si="14"/>
        <v>Permanent</v>
      </c>
    </row>
    <row r="192" spans="1:16" x14ac:dyDescent="0.3">
      <c r="A192" s="7" t="s">
        <v>1237</v>
      </c>
      <c r="B192" s="12" t="s">
        <v>1238</v>
      </c>
      <c r="C192" s="1" t="s">
        <v>1239</v>
      </c>
      <c r="D192" s="1" t="s">
        <v>1240</v>
      </c>
      <c r="E192" s="1" t="s">
        <v>402</v>
      </c>
      <c r="F192" s="1">
        <v>66</v>
      </c>
      <c r="G192" s="1" t="str">
        <f t="shared" si="13"/>
        <v>Sub-Transmission</v>
      </c>
      <c r="H192" s="1" t="s">
        <v>21</v>
      </c>
      <c r="I192" s="1" t="s">
        <v>15</v>
      </c>
      <c r="J192" s="7" t="s">
        <v>544</v>
      </c>
      <c r="K192" s="1">
        <v>1.43</v>
      </c>
      <c r="L192" s="1" t="s">
        <v>874</v>
      </c>
      <c r="M192" s="1" t="s">
        <v>1241</v>
      </c>
      <c r="N192" s="1" t="s">
        <v>424</v>
      </c>
      <c r="O192" s="1" t="str">
        <f t="shared" si="15"/>
        <v>High</v>
      </c>
      <c r="P192" s="1" t="str">
        <f t="shared" si="14"/>
        <v>Permanent</v>
      </c>
    </row>
    <row r="193" spans="1:16" x14ac:dyDescent="0.3">
      <c r="A193" s="7" t="s">
        <v>1249</v>
      </c>
      <c r="B193" s="12" t="s">
        <v>1250</v>
      </c>
      <c r="C193" s="1" t="s">
        <v>1251</v>
      </c>
      <c r="D193" s="1" t="s">
        <v>420</v>
      </c>
      <c r="E193" s="1" t="s">
        <v>1252</v>
      </c>
      <c r="F193" s="1">
        <v>111</v>
      </c>
      <c r="G193" s="1" t="str">
        <f t="shared" si="13"/>
        <v>Sub-Transmission</v>
      </c>
      <c r="H193" s="1" t="s">
        <v>21</v>
      </c>
      <c r="I193" s="1" t="s">
        <v>15</v>
      </c>
      <c r="J193" s="7" t="s">
        <v>1253</v>
      </c>
      <c r="K193" s="1">
        <v>1.45</v>
      </c>
      <c r="L193" s="1" t="s">
        <v>48</v>
      </c>
      <c r="M193" s="1" t="s">
        <v>1254</v>
      </c>
      <c r="N193" s="1" t="s">
        <v>424</v>
      </c>
      <c r="O193" s="1" t="str">
        <f t="shared" si="15"/>
        <v>High</v>
      </c>
      <c r="P193" s="1" t="str">
        <f t="shared" si="14"/>
        <v>Permanent</v>
      </c>
    </row>
    <row r="194" spans="1:16" x14ac:dyDescent="0.3">
      <c r="A194" s="7" t="s">
        <v>1399</v>
      </c>
      <c r="B194" s="12" t="s">
        <v>1049</v>
      </c>
      <c r="C194" s="1" t="s">
        <v>1400</v>
      </c>
      <c r="D194" s="1" t="s">
        <v>1240</v>
      </c>
      <c r="E194" s="1" t="s">
        <v>402</v>
      </c>
      <c r="F194" s="1">
        <v>66</v>
      </c>
      <c r="G194" s="1" t="str">
        <f t="shared" si="13"/>
        <v>Sub-Transmission</v>
      </c>
      <c r="H194" s="1" t="s">
        <v>21</v>
      </c>
      <c r="I194" s="1" t="s">
        <v>15</v>
      </c>
      <c r="J194" s="7" t="s">
        <v>1401</v>
      </c>
      <c r="K194" s="1">
        <v>1.63</v>
      </c>
      <c r="L194" s="1" t="s">
        <v>17</v>
      </c>
      <c r="M194" s="1" t="s">
        <v>1402</v>
      </c>
      <c r="N194" s="1" t="s">
        <v>604</v>
      </c>
      <c r="O194" s="1" t="str">
        <f t="shared" si="15"/>
        <v>High</v>
      </c>
      <c r="P194" s="1" t="str">
        <f t="shared" si="14"/>
        <v>Permanent</v>
      </c>
    </row>
    <row r="195" spans="1:16" x14ac:dyDescent="0.3">
      <c r="A195" s="7" t="s">
        <v>1399</v>
      </c>
      <c r="B195" s="12" t="s">
        <v>1049</v>
      </c>
      <c r="C195" s="1" t="s">
        <v>1400</v>
      </c>
      <c r="D195" s="1" t="s">
        <v>1240</v>
      </c>
      <c r="E195" s="1" t="s">
        <v>1403</v>
      </c>
      <c r="F195" s="1">
        <v>66</v>
      </c>
      <c r="G195" s="1" t="str">
        <f t="shared" si="13"/>
        <v>Sub-Transmission</v>
      </c>
      <c r="H195" s="1" t="s">
        <v>21</v>
      </c>
      <c r="I195" s="1" t="s">
        <v>15</v>
      </c>
      <c r="J195" s="7" t="s">
        <v>1401</v>
      </c>
      <c r="K195" s="1">
        <v>1.63</v>
      </c>
      <c r="L195" s="1" t="s">
        <v>17</v>
      </c>
      <c r="M195" s="1" t="s">
        <v>1404</v>
      </c>
      <c r="N195" s="1" t="s">
        <v>604</v>
      </c>
      <c r="O195" s="1" t="str">
        <f t="shared" si="15"/>
        <v>High</v>
      </c>
      <c r="P195" s="1" t="str">
        <f t="shared" si="14"/>
        <v>Permanent</v>
      </c>
    </row>
    <row r="196" spans="1:16" x14ac:dyDescent="0.3">
      <c r="A196" s="7" t="s">
        <v>1488</v>
      </c>
      <c r="B196" s="12" t="s">
        <v>1489</v>
      </c>
      <c r="C196" s="1" t="s">
        <v>1490</v>
      </c>
      <c r="D196" s="1" t="s">
        <v>1491</v>
      </c>
      <c r="E196" s="1" t="s">
        <v>1492</v>
      </c>
      <c r="F196" s="1">
        <v>66</v>
      </c>
      <c r="G196" s="1" t="str">
        <f t="shared" si="13"/>
        <v>Sub-Transmission</v>
      </c>
      <c r="H196" s="1" t="s">
        <v>14</v>
      </c>
      <c r="I196" s="1" t="s">
        <v>15</v>
      </c>
      <c r="J196" s="7" t="s">
        <v>1493</v>
      </c>
      <c r="K196" s="1">
        <v>5.13</v>
      </c>
      <c r="L196" s="1" t="s">
        <v>832</v>
      </c>
      <c r="M196" s="1" t="s">
        <v>1494</v>
      </c>
      <c r="N196" s="1" t="s">
        <v>695</v>
      </c>
      <c r="O196" s="1" t="str">
        <f t="shared" si="15"/>
        <v>High</v>
      </c>
      <c r="P196" s="1" t="str">
        <f t="shared" si="14"/>
        <v>Permanent</v>
      </c>
    </row>
    <row r="197" spans="1:16" x14ac:dyDescent="0.3">
      <c r="A197" s="7" t="s">
        <v>1571</v>
      </c>
      <c r="B197" s="12" t="s">
        <v>1572</v>
      </c>
      <c r="C197" s="1" t="s">
        <v>1573</v>
      </c>
      <c r="D197" s="1" t="s">
        <v>78</v>
      </c>
      <c r="E197" s="1" t="s">
        <v>1592</v>
      </c>
      <c r="F197" s="1">
        <v>66</v>
      </c>
      <c r="G197" s="1" t="str">
        <f t="shared" si="13"/>
        <v>Sub-Transmission</v>
      </c>
      <c r="H197" s="1" t="s">
        <v>14</v>
      </c>
      <c r="I197" s="1" t="s">
        <v>15</v>
      </c>
      <c r="J197" s="7" t="s">
        <v>480</v>
      </c>
      <c r="K197" s="1">
        <v>4.57</v>
      </c>
      <c r="L197" s="1" t="s">
        <v>1577</v>
      </c>
      <c r="M197" s="1" t="s">
        <v>379</v>
      </c>
      <c r="N197" s="1" t="s">
        <v>781</v>
      </c>
      <c r="O197" s="1" t="str">
        <f t="shared" si="15"/>
        <v>High</v>
      </c>
      <c r="P197" s="1" t="str">
        <f t="shared" si="14"/>
        <v>Permanent</v>
      </c>
    </row>
    <row r="198" spans="1:16" x14ac:dyDescent="0.3">
      <c r="A198" s="7" t="s">
        <v>1571</v>
      </c>
      <c r="B198" s="12" t="s">
        <v>1572</v>
      </c>
      <c r="C198" s="1" t="s">
        <v>1573</v>
      </c>
      <c r="D198" s="1" t="s">
        <v>78</v>
      </c>
      <c r="E198" s="1" t="s">
        <v>1595</v>
      </c>
      <c r="F198" s="1">
        <v>66</v>
      </c>
      <c r="G198" s="1" t="str">
        <f t="shared" si="13"/>
        <v>Sub-Transmission</v>
      </c>
      <c r="H198" s="1" t="s">
        <v>14</v>
      </c>
      <c r="I198" s="1" t="s">
        <v>15</v>
      </c>
      <c r="J198" s="7" t="s">
        <v>787</v>
      </c>
      <c r="K198" s="1">
        <v>4.53</v>
      </c>
      <c r="L198" s="1" t="s">
        <v>1577</v>
      </c>
      <c r="M198" s="1" t="s">
        <v>379</v>
      </c>
      <c r="N198" s="1" t="s">
        <v>781</v>
      </c>
      <c r="O198" s="1" t="str">
        <f t="shared" si="15"/>
        <v>High</v>
      </c>
      <c r="P198" s="1" t="str">
        <f t="shared" si="14"/>
        <v>Permanent</v>
      </c>
    </row>
    <row r="199" spans="1:16" x14ac:dyDescent="0.3">
      <c r="A199" s="7" t="s">
        <v>1603</v>
      </c>
      <c r="B199" s="12" t="s">
        <v>1331</v>
      </c>
      <c r="C199" s="1" t="s">
        <v>1604</v>
      </c>
      <c r="D199" s="1" t="s">
        <v>78</v>
      </c>
      <c r="E199" s="1" t="s">
        <v>1595</v>
      </c>
      <c r="F199" s="1">
        <v>66</v>
      </c>
      <c r="G199" s="1" t="str">
        <f t="shared" si="13"/>
        <v>Sub-Transmission</v>
      </c>
      <c r="H199" s="1" t="s">
        <v>47</v>
      </c>
      <c r="I199" s="1" t="s">
        <v>15</v>
      </c>
      <c r="J199" s="7" t="s">
        <v>719</v>
      </c>
      <c r="K199" s="1">
        <v>5</v>
      </c>
      <c r="L199" s="1" t="s">
        <v>1608</v>
      </c>
      <c r="M199" s="1" t="s">
        <v>898</v>
      </c>
      <c r="N199" s="1" t="s">
        <v>781</v>
      </c>
      <c r="O199" s="1" t="str">
        <f t="shared" si="15"/>
        <v>High</v>
      </c>
      <c r="P199" s="1" t="str">
        <f t="shared" si="14"/>
        <v>Permanent</v>
      </c>
    </row>
    <row r="200" spans="1:16" x14ac:dyDescent="0.3">
      <c r="A200" s="7" t="s">
        <v>1761</v>
      </c>
      <c r="B200" s="12" t="s">
        <v>1762</v>
      </c>
      <c r="C200" s="1" t="s">
        <v>1763</v>
      </c>
      <c r="D200" s="1" t="s">
        <v>1240</v>
      </c>
      <c r="E200" s="1" t="s">
        <v>402</v>
      </c>
      <c r="F200" s="1">
        <v>66</v>
      </c>
      <c r="G200" s="1" t="str">
        <f t="shared" si="13"/>
        <v>Sub-Transmission</v>
      </c>
      <c r="H200" s="1" t="s">
        <v>21</v>
      </c>
      <c r="I200" s="1" t="s">
        <v>15</v>
      </c>
      <c r="J200" s="11">
        <v>0.24236111111111111</v>
      </c>
      <c r="K200" s="1">
        <v>14.52</v>
      </c>
      <c r="L200" s="1" t="s">
        <v>1764</v>
      </c>
      <c r="M200" s="1" t="s">
        <v>1765</v>
      </c>
      <c r="N200" s="1" t="s">
        <v>18</v>
      </c>
      <c r="O200" s="1" t="str">
        <f t="shared" ref="O200:O231" si="16">IF(K200&lt;=0.083,"Low",IF(K200&lt;= 0.5,"Medium",IF(K200&gt;0.5,"High")))</f>
        <v>High</v>
      </c>
      <c r="P200" s="1" t="str">
        <f t="shared" si="14"/>
        <v>Permanent</v>
      </c>
    </row>
    <row r="201" spans="1:16" x14ac:dyDescent="0.3">
      <c r="A201" s="6">
        <v>44958</v>
      </c>
      <c r="B201" s="10" t="s">
        <v>206</v>
      </c>
      <c r="C201" s="1" t="s">
        <v>12</v>
      </c>
      <c r="D201" s="1" t="s">
        <v>13</v>
      </c>
      <c r="E201" s="1" t="s">
        <v>232</v>
      </c>
      <c r="F201" s="1">
        <v>220</v>
      </c>
      <c r="G201" s="1" t="str">
        <f t="shared" si="13"/>
        <v>Transmission</v>
      </c>
      <c r="H201" s="1" t="s">
        <v>14</v>
      </c>
      <c r="I201" s="1" t="s">
        <v>15</v>
      </c>
      <c r="J201" s="12" t="s">
        <v>16</v>
      </c>
      <c r="K201" s="1">
        <v>0</v>
      </c>
      <c r="L201" s="1" t="s">
        <v>17</v>
      </c>
      <c r="M201" s="3" t="s">
        <v>201</v>
      </c>
      <c r="N201" s="1" t="s">
        <v>18</v>
      </c>
      <c r="O201" s="1" t="str">
        <f t="shared" si="16"/>
        <v>Low</v>
      </c>
      <c r="P201" s="1" t="str">
        <f t="shared" si="14"/>
        <v>Transient</v>
      </c>
    </row>
    <row r="202" spans="1:16" x14ac:dyDescent="0.3">
      <c r="A202" s="6">
        <v>45047</v>
      </c>
      <c r="B202" s="11">
        <v>0.8125</v>
      </c>
      <c r="C202" s="1" t="s">
        <v>19</v>
      </c>
      <c r="D202" s="1" t="s">
        <v>20</v>
      </c>
      <c r="E202" s="1" t="s">
        <v>233</v>
      </c>
      <c r="F202" s="1">
        <v>132</v>
      </c>
      <c r="G202" s="1" t="str">
        <f t="shared" si="13"/>
        <v>Transmission</v>
      </c>
      <c r="H202" s="1" t="s">
        <v>21</v>
      </c>
      <c r="I202" s="1" t="s">
        <v>22</v>
      </c>
      <c r="J202" s="11">
        <v>0.8520833333333333</v>
      </c>
      <c r="K202" s="1">
        <v>0.95</v>
      </c>
      <c r="L202" s="1" t="s">
        <v>23</v>
      </c>
      <c r="M202" s="3" t="s">
        <v>24</v>
      </c>
      <c r="N202" s="1" t="s">
        <v>18</v>
      </c>
      <c r="O202" s="1" t="str">
        <f t="shared" si="16"/>
        <v>High</v>
      </c>
      <c r="P202" s="1" t="str">
        <f t="shared" si="14"/>
        <v>Permanent</v>
      </c>
    </row>
    <row r="203" spans="1:16" x14ac:dyDescent="0.3">
      <c r="A203" s="6">
        <v>45078</v>
      </c>
      <c r="B203" s="11">
        <v>0.6430555555555556</v>
      </c>
      <c r="C203" s="1" t="s">
        <v>29</v>
      </c>
      <c r="D203" s="1" t="s">
        <v>30</v>
      </c>
      <c r="E203" s="1" t="s">
        <v>235</v>
      </c>
      <c r="F203" s="1">
        <v>220</v>
      </c>
      <c r="G203" s="1" t="str">
        <f t="shared" si="13"/>
        <v>Transmission</v>
      </c>
      <c r="H203" s="1" t="s">
        <v>21</v>
      </c>
      <c r="I203" s="1" t="s">
        <v>31</v>
      </c>
      <c r="J203" s="11">
        <v>0.79999999999999993</v>
      </c>
      <c r="K203" s="1">
        <v>1.0669999999999999</v>
      </c>
      <c r="L203" s="1" t="s">
        <v>17</v>
      </c>
      <c r="M203" s="3" t="s">
        <v>32</v>
      </c>
      <c r="N203" s="1" t="s">
        <v>18</v>
      </c>
      <c r="O203" s="1" t="str">
        <f t="shared" si="16"/>
        <v>High</v>
      </c>
      <c r="P203" s="1" t="str">
        <f t="shared" si="14"/>
        <v>Permanent</v>
      </c>
    </row>
    <row r="204" spans="1:16" x14ac:dyDescent="0.3">
      <c r="A204" s="6">
        <v>45078</v>
      </c>
      <c r="B204" s="11">
        <v>0.81736111111111109</v>
      </c>
      <c r="C204" s="1" t="s">
        <v>35</v>
      </c>
      <c r="D204" s="1" t="s">
        <v>36</v>
      </c>
      <c r="E204" s="1" t="s">
        <v>237</v>
      </c>
      <c r="F204" s="1">
        <v>132</v>
      </c>
      <c r="G204" s="1" t="str">
        <f t="shared" si="13"/>
        <v>Transmission</v>
      </c>
      <c r="H204" s="1" t="s">
        <v>37</v>
      </c>
      <c r="I204" s="1" t="s">
        <v>31</v>
      </c>
      <c r="J204" s="12" t="s">
        <v>16</v>
      </c>
      <c r="K204" s="1">
        <v>0</v>
      </c>
      <c r="L204" s="1" t="s">
        <v>17</v>
      </c>
      <c r="M204" s="3" t="s">
        <v>38</v>
      </c>
      <c r="N204" s="1" t="s">
        <v>18</v>
      </c>
      <c r="O204" s="1" t="str">
        <f t="shared" si="16"/>
        <v>Low</v>
      </c>
      <c r="P204" s="1" t="str">
        <f t="shared" si="14"/>
        <v>Transient</v>
      </c>
    </row>
    <row r="205" spans="1:16" x14ac:dyDescent="0.3">
      <c r="A205" s="6">
        <v>45108</v>
      </c>
      <c r="B205" s="11">
        <v>0.73611111111111116</v>
      </c>
      <c r="C205" s="1" t="s">
        <v>41</v>
      </c>
      <c r="D205" s="1" t="s">
        <v>42</v>
      </c>
      <c r="E205" s="1" t="s">
        <v>240</v>
      </c>
      <c r="F205" s="1">
        <v>132</v>
      </c>
      <c r="G205" s="1" t="str">
        <f t="shared" si="13"/>
        <v>Transmission</v>
      </c>
      <c r="H205" s="1" t="s">
        <v>37</v>
      </c>
      <c r="I205" s="1" t="s">
        <v>15</v>
      </c>
      <c r="J205" s="5" t="s">
        <v>222</v>
      </c>
      <c r="K205" s="1">
        <v>6.6</v>
      </c>
      <c r="L205" s="1" t="s">
        <v>43</v>
      </c>
      <c r="M205" s="3" t="s">
        <v>44</v>
      </c>
      <c r="N205" s="1" t="s">
        <v>18</v>
      </c>
      <c r="O205" s="1" t="str">
        <f t="shared" si="16"/>
        <v>High</v>
      </c>
      <c r="P205" s="1" t="str">
        <f t="shared" si="14"/>
        <v>Permanent</v>
      </c>
    </row>
    <row r="206" spans="1:16" x14ac:dyDescent="0.3">
      <c r="A206" s="6">
        <v>45170</v>
      </c>
      <c r="B206" s="11">
        <v>0.6694444444444444</v>
      </c>
      <c r="C206" s="1" t="s">
        <v>45</v>
      </c>
      <c r="D206" s="1" t="s">
        <v>46</v>
      </c>
      <c r="E206" s="1" t="s">
        <v>241</v>
      </c>
      <c r="F206" s="1">
        <v>400</v>
      </c>
      <c r="G206" s="1" t="str">
        <f t="shared" si="13"/>
        <v>Transmission</v>
      </c>
      <c r="H206" s="1" t="s">
        <v>47</v>
      </c>
      <c r="I206" s="1" t="s">
        <v>15</v>
      </c>
      <c r="J206" s="11">
        <v>0.68402777777777779</v>
      </c>
      <c r="K206" s="1">
        <v>0.35</v>
      </c>
      <c r="L206" s="1" t="s">
        <v>48</v>
      </c>
      <c r="M206" s="3" t="s">
        <v>49</v>
      </c>
      <c r="N206" s="1" t="s">
        <v>18</v>
      </c>
      <c r="O206" s="1" t="str">
        <f t="shared" si="16"/>
        <v>Medium</v>
      </c>
      <c r="P206" s="1" t="str">
        <f t="shared" si="14"/>
        <v>Sustained</v>
      </c>
    </row>
    <row r="207" spans="1:16" x14ac:dyDescent="0.3">
      <c r="A207" s="7" t="s">
        <v>50</v>
      </c>
      <c r="B207" s="10" t="s">
        <v>208</v>
      </c>
      <c r="C207" s="1" t="s">
        <v>51</v>
      </c>
      <c r="D207" s="1" t="s">
        <v>52</v>
      </c>
      <c r="E207" s="1" t="s">
        <v>242</v>
      </c>
      <c r="F207" s="1">
        <v>220</v>
      </c>
      <c r="G207" s="1" t="str">
        <f t="shared" si="13"/>
        <v>Transmission</v>
      </c>
      <c r="H207" s="1" t="s">
        <v>47</v>
      </c>
      <c r="I207" s="1" t="s">
        <v>15</v>
      </c>
      <c r="J207" s="5" t="s">
        <v>223</v>
      </c>
      <c r="K207" s="1">
        <v>7.5670000000000002</v>
      </c>
      <c r="L207" s="1" t="s">
        <v>53</v>
      </c>
      <c r="M207" s="3" t="s">
        <v>54</v>
      </c>
      <c r="N207" s="1" t="s">
        <v>18</v>
      </c>
      <c r="O207" s="1" t="str">
        <f t="shared" si="16"/>
        <v>High</v>
      </c>
      <c r="P207" s="1" t="str">
        <f t="shared" si="14"/>
        <v>Permanent</v>
      </c>
    </row>
    <row r="208" spans="1:16" x14ac:dyDescent="0.3">
      <c r="A208" s="7" t="s">
        <v>55</v>
      </c>
      <c r="B208" s="11">
        <v>0.52916666666666667</v>
      </c>
      <c r="C208" s="1" t="s">
        <v>56</v>
      </c>
      <c r="D208" s="1" t="s">
        <v>46</v>
      </c>
      <c r="E208" s="1" t="s">
        <v>241</v>
      </c>
      <c r="F208" s="1">
        <v>400</v>
      </c>
      <c r="G208" s="1" t="str">
        <f t="shared" si="13"/>
        <v>Transmission</v>
      </c>
      <c r="H208" s="1" t="s">
        <v>47</v>
      </c>
      <c r="I208" s="1" t="s">
        <v>15</v>
      </c>
      <c r="J208" s="11">
        <v>0.53194444444444444</v>
      </c>
      <c r="K208" s="1">
        <v>6.7000000000000004E-2</v>
      </c>
      <c r="L208" s="1" t="s">
        <v>17</v>
      </c>
      <c r="M208" s="3" t="s">
        <v>57</v>
      </c>
      <c r="N208" s="1" t="s">
        <v>18</v>
      </c>
      <c r="O208" s="1" t="str">
        <f t="shared" si="16"/>
        <v>Low</v>
      </c>
      <c r="P208" s="1" t="str">
        <f t="shared" si="14"/>
        <v>Transient</v>
      </c>
    </row>
    <row r="209" spans="1:16" x14ac:dyDescent="0.3">
      <c r="A209" s="7" t="s">
        <v>58</v>
      </c>
      <c r="B209" s="11">
        <v>0.74444444444444446</v>
      </c>
      <c r="C209" s="1" t="s">
        <v>59</v>
      </c>
      <c r="D209" s="1" t="s">
        <v>46</v>
      </c>
      <c r="E209" s="1" t="s">
        <v>241</v>
      </c>
      <c r="F209" s="1">
        <v>400</v>
      </c>
      <c r="G209" s="1" t="str">
        <f t="shared" si="13"/>
        <v>Transmission</v>
      </c>
      <c r="H209" s="1" t="s">
        <v>47</v>
      </c>
      <c r="I209" s="1" t="s">
        <v>15</v>
      </c>
      <c r="J209" s="11">
        <v>0.77361111111111114</v>
      </c>
      <c r="K209" s="1">
        <v>0.7</v>
      </c>
      <c r="L209" s="1" t="s">
        <v>60</v>
      </c>
      <c r="M209" s="3" t="s">
        <v>61</v>
      </c>
      <c r="N209" s="1" t="s">
        <v>18</v>
      </c>
      <c r="O209" s="1" t="str">
        <f t="shared" si="16"/>
        <v>High</v>
      </c>
      <c r="P209" s="1" t="str">
        <f t="shared" si="14"/>
        <v>Permanent</v>
      </c>
    </row>
    <row r="210" spans="1:16" x14ac:dyDescent="0.3">
      <c r="A210" s="7" t="s">
        <v>66</v>
      </c>
      <c r="B210" s="10" t="s">
        <v>209</v>
      </c>
      <c r="C210" s="1" t="s">
        <v>67</v>
      </c>
      <c r="D210" s="1" t="s">
        <v>52</v>
      </c>
      <c r="E210" s="1" t="s">
        <v>242</v>
      </c>
      <c r="F210" s="1">
        <v>220</v>
      </c>
      <c r="G210" s="1" t="str">
        <f t="shared" si="13"/>
        <v>Transmission</v>
      </c>
      <c r="H210" s="1" t="s">
        <v>47</v>
      </c>
      <c r="I210" s="1" t="s">
        <v>15</v>
      </c>
      <c r="J210" s="11">
        <v>0.55625000000000002</v>
      </c>
      <c r="K210" s="1">
        <v>4.8330000000000002</v>
      </c>
      <c r="L210" s="1" t="s">
        <v>68</v>
      </c>
      <c r="M210" s="3" t="s">
        <v>69</v>
      </c>
      <c r="N210" s="1" t="s">
        <v>18</v>
      </c>
      <c r="O210" s="1" t="str">
        <f t="shared" si="16"/>
        <v>High</v>
      </c>
      <c r="P210" s="1" t="str">
        <f t="shared" si="14"/>
        <v>Permanent</v>
      </c>
    </row>
    <row r="211" spans="1:16" x14ac:dyDescent="0.3">
      <c r="A211" s="7" t="s">
        <v>66</v>
      </c>
      <c r="B211" s="11">
        <v>0.44027777777777777</v>
      </c>
      <c r="C211" s="1" t="s">
        <v>70</v>
      </c>
      <c r="D211" s="1" t="s">
        <v>46</v>
      </c>
      <c r="E211" s="1" t="s">
        <v>244</v>
      </c>
      <c r="F211" s="1">
        <v>400</v>
      </c>
      <c r="G211" s="1" t="str">
        <f t="shared" si="13"/>
        <v>Transmission</v>
      </c>
      <c r="H211" s="1" t="s">
        <v>47</v>
      </c>
      <c r="I211" s="1" t="s">
        <v>15</v>
      </c>
      <c r="J211" s="11">
        <v>0.61458333333333337</v>
      </c>
      <c r="K211" s="1">
        <v>4.1829999999999998</v>
      </c>
      <c r="L211" s="1" t="s">
        <v>60</v>
      </c>
      <c r="M211" s="3" t="s">
        <v>71</v>
      </c>
      <c r="N211" s="1" t="s">
        <v>18</v>
      </c>
      <c r="O211" s="1" t="str">
        <f t="shared" si="16"/>
        <v>High</v>
      </c>
      <c r="P211" s="1" t="str">
        <f t="shared" si="14"/>
        <v>Permanent</v>
      </c>
    </row>
    <row r="212" spans="1:16" x14ac:dyDescent="0.3">
      <c r="A212" s="7" t="s">
        <v>72</v>
      </c>
      <c r="B212" s="11">
        <v>0.94027777777777777</v>
      </c>
      <c r="C212" s="1" t="s">
        <v>73</v>
      </c>
      <c r="D212" s="1" t="s">
        <v>30</v>
      </c>
      <c r="E212" s="1" t="s">
        <v>245</v>
      </c>
      <c r="F212" s="1">
        <v>220</v>
      </c>
      <c r="G212" s="1" t="str">
        <f t="shared" si="13"/>
        <v>Transmission</v>
      </c>
      <c r="H212" s="1" t="s">
        <v>47</v>
      </c>
      <c r="I212" s="1" t="s">
        <v>31</v>
      </c>
      <c r="J212" s="5" t="s">
        <v>224</v>
      </c>
      <c r="K212" s="1">
        <v>1.95</v>
      </c>
      <c r="L212" s="1" t="s">
        <v>17</v>
      </c>
      <c r="M212" s="3" t="s">
        <v>74</v>
      </c>
      <c r="N212" s="1" t="s">
        <v>18</v>
      </c>
      <c r="O212" s="1" t="str">
        <f t="shared" si="16"/>
        <v>High</v>
      </c>
      <c r="P212" s="1" t="str">
        <f t="shared" si="14"/>
        <v>Permanent</v>
      </c>
    </row>
    <row r="213" spans="1:16" x14ac:dyDescent="0.3">
      <c r="A213" s="7" t="s">
        <v>81</v>
      </c>
      <c r="B213" s="10" t="s">
        <v>211</v>
      </c>
      <c r="C213" s="1" t="s">
        <v>82</v>
      </c>
      <c r="D213" s="1" t="s">
        <v>46</v>
      </c>
      <c r="E213" s="1" t="s">
        <v>241</v>
      </c>
      <c r="F213" s="1">
        <v>400</v>
      </c>
      <c r="G213" s="1" t="str">
        <f t="shared" si="13"/>
        <v>Transmission</v>
      </c>
      <c r="H213" s="1" t="s">
        <v>47</v>
      </c>
      <c r="I213" s="1" t="s">
        <v>15</v>
      </c>
      <c r="J213" s="11">
        <v>0.56180555555555556</v>
      </c>
      <c r="K213" s="1">
        <v>4.1829999999999998</v>
      </c>
      <c r="L213" s="1" t="s">
        <v>60</v>
      </c>
      <c r="M213" s="1" t="s">
        <v>83</v>
      </c>
      <c r="N213" s="1" t="s">
        <v>18</v>
      </c>
      <c r="O213" s="1" t="str">
        <f t="shared" si="16"/>
        <v>High</v>
      </c>
      <c r="P213" s="1" t="str">
        <f t="shared" si="14"/>
        <v>Permanent</v>
      </c>
    </row>
    <row r="214" spans="1:16" x14ac:dyDescent="0.3">
      <c r="A214" s="7" t="s">
        <v>81</v>
      </c>
      <c r="B214" s="11">
        <v>0.56805555555555554</v>
      </c>
      <c r="C214" s="1" t="s">
        <v>84</v>
      </c>
      <c r="D214" s="1" t="s">
        <v>20</v>
      </c>
      <c r="E214" s="1" t="s">
        <v>248</v>
      </c>
      <c r="F214" s="1">
        <v>132</v>
      </c>
      <c r="G214" s="1" t="str">
        <f t="shared" si="13"/>
        <v>Transmission</v>
      </c>
      <c r="H214" s="1" t="s">
        <v>21</v>
      </c>
      <c r="I214" s="1" t="s">
        <v>22</v>
      </c>
      <c r="J214" s="11">
        <v>0.5708333333333333</v>
      </c>
      <c r="K214" s="1">
        <v>6.7000000000000004E-2</v>
      </c>
      <c r="L214" s="1" t="s">
        <v>23</v>
      </c>
      <c r="M214" s="1" t="s">
        <v>24</v>
      </c>
      <c r="N214" s="1" t="s">
        <v>18</v>
      </c>
      <c r="O214" s="1" t="str">
        <f t="shared" si="16"/>
        <v>Low</v>
      </c>
      <c r="P214" s="1" t="str">
        <f t="shared" si="14"/>
        <v>Transient</v>
      </c>
    </row>
    <row r="215" spans="1:16" x14ac:dyDescent="0.3">
      <c r="A215" s="7" t="s">
        <v>81</v>
      </c>
      <c r="B215" s="11">
        <v>0.74722222222222223</v>
      </c>
      <c r="C215" s="1" t="s">
        <v>85</v>
      </c>
      <c r="D215" s="1" t="s">
        <v>86</v>
      </c>
      <c r="E215" s="1" t="s">
        <v>249</v>
      </c>
      <c r="F215" s="1">
        <v>132</v>
      </c>
      <c r="G215" s="1" t="str">
        <f t="shared" si="13"/>
        <v>Transmission</v>
      </c>
      <c r="H215" s="1" t="s">
        <v>87</v>
      </c>
      <c r="I215" s="1" t="s">
        <v>15</v>
      </c>
      <c r="J215" s="11">
        <v>0.80555555555555547</v>
      </c>
      <c r="K215" s="1">
        <v>1.4</v>
      </c>
      <c r="L215" s="1" t="s">
        <v>17</v>
      </c>
      <c r="M215" s="1" t="s">
        <v>88</v>
      </c>
      <c r="N215" s="1" t="s">
        <v>18</v>
      </c>
      <c r="O215" s="1" t="str">
        <f t="shared" si="16"/>
        <v>High</v>
      </c>
      <c r="P215" s="1" t="str">
        <f t="shared" si="14"/>
        <v>Permanent</v>
      </c>
    </row>
    <row r="216" spans="1:16" x14ac:dyDescent="0.3">
      <c r="A216" s="6">
        <v>45048</v>
      </c>
      <c r="B216" s="10" t="s">
        <v>212</v>
      </c>
      <c r="C216" s="1" t="s">
        <v>89</v>
      </c>
      <c r="D216" s="1" t="s">
        <v>90</v>
      </c>
      <c r="E216" s="1" t="s">
        <v>250</v>
      </c>
      <c r="F216" s="1">
        <v>132</v>
      </c>
      <c r="G216" s="1" t="str">
        <f t="shared" si="13"/>
        <v>Transmission</v>
      </c>
      <c r="H216" s="1" t="s">
        <v>87</v>
      </c>
      <c r="I216" s="1" t="s">
        <v>15</v>
      </c>
      <c r="J216" s="11">
        <v>0.77847222222222223</v>
      </c>
      <c r="K216" s="1">
        <v>17.8</v>
      </c>
      <c r="L216" s="1" t="s">
        <v>60</v>
      </c>
      <c r="M216" s="1" t="s">
        <v>91</v>
      </c>
      <c r="N216" s="1" t="s">
        <v>92</v>
      </c>
      <c r="O216" s="1" t="str">
        <f t="shared" si="16"/>
        <v>High</v>
      </c>
      <c r="P216" s="1" t="str">
        <f t="shared" si="14"/>
        <v>Permanent</v>
      </c>
    </row>
    <row r="217" spans="1:16" x14ac:dyDescent="0.3">
      <c r="A217" s="6">
        <v>45048</v>
      </c>
      <c r="B217" s="11">
        <v>0.54166666666666663</v>
      </c>
      <c r="C217" s="1" t="s">
        <v>89</v>
      </c>
      <c r="D217" s="1" t="s">
        <v>46</v>
      </c>
      <c r="E217" s="1" t="s">
        <v>244</v>
      </c>
      <c r="F217" s="1">
        <v>400</v>
      </c>
      <c r="G217" s="1" t="str">
        <f t="shared" si="13"/>
        <v>Transmission</v>
      </c>
      <c r="H217" s="1" t="s">
        <v>47</v>
      </c>
      <c r="I217" s="1" t="s">
        <v>15</v>
      </c>
      <c r="J217" s="11">
        <v>0.77847222222222223</v>
      </c>
      <c r="K217" s="1">
        <v>5.6829999999999998</v>
      </c>
      <c r="L217" s="1" t="s">
        <v>60</v>
      </c>
      <c r="M217" s="1" t="s">
        <v>91</v>
      </c>
      <c r="N217" s="1" t="s">
        <v>92</v>
      </c>
      <c r="O217" s="1" t="str">
        <f t="shared" si="16"/>
        <v>High</v>
      </c>
      <c r="P217" s="1" t="str">
        <f t="shared" si="14"/>
        <v>Permanent</v>
      </c>
    </row>
    <row r="218" spans="1:16" x14ac:dyDescent="0.3">
      <c r="A218" s="6">
        <v>45109</v>
      </c>
      <c r="B218" s="11">
        <v>0.43263888888888885</v>
      </c>
      <c r="C218" s="1" t="s">
        <v>93</v>
      </c>
      <c r="D218" s="1" t="s">
        <v>52</v>
      </c>
      <c r="E218" s="1" t="s">
        <v>94</v>
      </c>
      <c r="F218" s="1">
        <v>220</v>
      </c>
      <c r="G218" s="1" t="str">
        <f t="shared" si="13"/>
        <v>Transmission</v>
      </c>
      <c r="H218" s="1" t="s">
        <v>47</v>
      </c>
      <c r="I218" s="1" t="s">
        <v>15</v>
      </c>
      <c r="J218" s="11">
        <v>0.68888888888888899</v>
      </c>
      <c r="K218" s="1">
        <v>6.15</v>
      </c>
      <c r="L218" s="1" t="s">
        <v>95</v>
      </c>
      <c r="M218" s="1" t="s">
        <v>96</v>
      </c>
      <c r="N218" s="1" t="s">
        <v>92</v>
      </c>
      <c r="O218" s="1" t="str">
        <f t="shared" si="16"/>
        <v>High</v>
      </c>
      <c r="P218" s="1" t="str">
        <f t="shared" si="14"/>
        <v>Permanent</v>
      </c>
    </row>
    <row r="219" spans="1:16" x14ac:dyDescent="0.3">
      <c r="A219" s="6">
        <v>45109</v>
      </c>
      <c r="B219" s="11">
        <v>0.6069444444444444</v>
      </c>
      <c r="C219" s="1" t="s">
        <v>97</v>
      </c>
      <c r="D219" s="1" t="s">
        <v>13</v>
      </c>
      <c r="E219" s="1" t="s">
        <v>251</v>
      </c>
      <c r="F219" s="1">
        <v>132</v>
      </c>
      <c r="G219" s="1" t="str">
        <f t="shared" si="13"/>
        <v>Transmission</v>
      </c>
      <c r="H219" s="1" t="s">
        <v>14</v>
      </c>
      <c r="I219" s="1" t="s">
        <v>98</v>
      </c>
      <c r="J219" s="12" t="s">
        <v>16</v>
      </c>
      <c r="K219" s="1">
        <v>0</v>
      </c>
      <c r="L219" s="1" t="s">
        <v>17</v>
      </c>
      <c r="M219" s="3" t="s">
        <v>99</v>
      </c>
      <c r="N219" s="1" t="s">
        <v>92</v>
      </c>
      <c r="O219" s="1" t="str">
        <f t="shared" si="16"/>
        <v>Low</v>
      </c>
      <c r="P219" s="1" t="str">
        <f t="shared" si="14"/>
        <v>Transient</v>
      </c>
    </row>
    <row r="220" spans="1:16" x14ac:dyDescent="0.3">
      <c r="A220" s="6">
        <v>45140</v>
      </c>
      <c r="B220" s="11">
        <v>0.75208333333333333</v>
      </c>
      <c r="C220" s="1" t="s">
        <v>100</v>
      </c>
      <c r="D220" s="1" t="s">
        <v>46</v>
      </c>
      <c r="E220" s="1" t="s">
        <v>241</v>
      </c>
      <c r="F220" s="1">
        <v>400</v>
      </c>
      <c r="G220" s="1" t="str">
        <f t="shared" si="13"/>
        <v>Transmission</v>
      </c>
      <c r="H220" s="1" t="s">
        <v>47</v>
      </c>
      <c r="I220" s="1" t="s">
        <v>15</v>
      </c>
      <c r="J220" s="11">
        <v>0.7597222222222223</v>
      </c>
      <c r="K220" s="1">
        <v>0.183</v>
      </c>
      <c r="L220" s="1" t="s">
        <v>48</v>
      </c>
      <c r="M220" s="1" t="s">
        <v>101</v>
      </c>
      <c r="N220" s="1" t="s">
        <v>92</v>
      </c>
      <c r="O220" s="1" t="str">
        <f t="shared" si="16"/>
        <v>Medium</v>
      </c>
      <c r="P220" s="1" t="str">
        <f t="shared" si="14"/>
        <v>Sustained</v>
      </c>
    </row>
    <row r="221" spans="1:16" x14ac:dyDescent="0.3">
      <c r="A221" s="6">
        <v>45171</v>
      </c>
      <c r="B221" s="10" t="s">
        <v>213</v>
      </c>
      <c r="C221" s="1" t="s">
        <v>106</v>
      </c>
      <c r="D221" s="1" t="s">
        <v>107</v>
      </c>
      <c r="E221" s="1" t="s">
        <v>252</v>
      </c>
      <c r="F221" s="1">
        <v>400</v>
      </c>
      <c r="G221" s="1" t="str">
        <f t="shared" si="13"/>
        <v>Transmission</v>
      </c>
      <c r="H221" s="1" t="s">
        <v>47</v>
      </c>
      <c r="I221" s="1" t="s">
        <v>108</v>
      </c>
      <c r="J221" s="12" t="s">
        <v>16</v>
      </c>
      <c r="K221" s="1">
        <v>0</v>
      </c>
      <c r="L221" s="1" t="s">
        <v>109</v>
      </c>
      <c r="M221" s="1" t="s">
        <v>110</v>
      </c>
      <c r="N221" s="1" t="s">
        <v>92</v>
      </c>
      <c r="O221" s="1" t="str">
        <f t="shared" si="16"/>
        <v>Low</v>
      </c>
      <c r="P221" s="1" t="str">
        <f t="shared" si="14"/>
        <v>Transient</v>
      </c>
    </row>
    <row r="222" spans="1:16" x14ac:dyDescent="0.3">
      <c r="A222" s="7" t="s">
        <v>111</v>
      </c>
      <c r="B222" s="11">
        <v>0.85763888888888884</v>
      </c>
      <c r="C222" s="1" t="s">
        <v>112</v>
      </c>
      <c r="D222" s="1" t="s">
        <v>113</v>
      </c>
      <c r="E222" s="1" t="s">
        <v>253</v>
      </c>
      <c r="F222" s="1">
        <v>132</v>
      </c>
      <c r="G222" s="1" t="str">
        <f t="shared" si="13"/>
        <v>Transmission</v>
      </c>
      <c r="H222" s="1" t="s">
        <v>14</v>
      </c>
      <c r="I222" s="1" t="s">
        <v>31</v>
      </c>
      <c r="J222" s="11">
        <v>0.93611111111111101</v>
      </c>
      <c r="K222" s="1">
        <v>1.883</v>
      </c>
      <c r="L222" s="1" t="s">
        <v>114</v>
      </c>
      <c r="M222" s="1" t="s">
        <v>115</v>
      </c>
      <c r="N222" s="1" t="s">
        <v>92</v>
      </c>
      <c r="O222" s="1" t="str">
        <f t="shared" si="16"/>
        <v>High</v>
      </c>
      <c r="P222" s="1" t="str">
        <f t="shared" si="14"/>
        <v>Permanent</v>
      </c>
    </row>
    <row r="223" spans="1:16" x14ac:dyDescent="0.3">
      <c r="A223" s="7" t="s">
        <v>116</v>
      </c>
      <c r="B223" s="11">
        <v>0.64930555555555558</v>
      </c>
      <c r="C223" s="1" t="s">
        <v>117</v>
      </c>
      <c r="D223" s="1" t="s">
        <v>118</v>
      </c>
      <c r="E223" s="1" t="s">
        <v>254</v>
      </c>
      <c r="F223" s="1">
        <v>132</v>
      </c>
      <c r="G223" s="1" t="str">
        <f t="shared" si="13"/>
        <v>Transmission</v>
      </c>
      <c r="H223" s="1" t="s">
        <v>21</v>
      </c>
      <c r="I223" s="1" t="s">
        <v>31</v>
      </c>
      <c r="J223" s="11">
        <v>0.69791666666666663</v>
      </c>
      <c r="K223" s="1">
        <v>1.167</v>
      </c>
      <c r="L223" s="1" t="s">
        <v>119</v>
      </c>
      <c r="M223" s="1" t="s">
        <v>120</v>
      </c>
      <c r="N223" s="1" t="s">
        <v>92</v>
      </c>
      <c r="O223" s="1" t="str">
        <f t="shared" si="16"/>
        <v>High</v>
      </c>
      <c r="P223" s="1" t="str">
        <f t="shared" si="14"/>
        <v>Permanent</v>
      </c>
    </row>
    <row r="224" spans="1:16" x14ac:dyDescent="0.3">
      <c r="A224" s="7" t="s">
        <v>121</v>
      </c>
      <c r="B224" s="10" t="s">
        <v>214</v>
      </c>
      <c r="C224" s="1" t="s">
        <v>122</v>
      </c>
      <c r="D224" s="1" t="s">
        <v>123</v>
      </c>
      <c r="E224" s="1" t="s">
        <v>255</v>
      </c>
      <c r="F224" s="1">
        <v>132</v>
      </c>
      <c r="G224" s="1" t="str">
        <f t="shared" si="13"/>
        <v>Transmission</v>
      </c>
      <c r="H224" s="1" t="s">
        <v>14</v>
      </c>
      <c r="I224" s="1" t="s">
        <v>31</v>
      </c>
      <c r="J224" s="5" t="s">
        <v>226</v>
      </c>
      <c r="K224" s="1">
        <v>2.5329999999999999</v>
      </c>
      <c r="L224" s="1" t="s">
        <v>17</v>
      </c>
      <c r="M224" s="1" t="s">
        <v>124</v>
      </c>
      <c r="N224" s="1" t="s">
        <v>92</v>
      </c>
      <c r="O224" s="1" t="str">
        <f t="shared" si="16"/>
        <v>High</v>
      </c>
      <c r="P224" s="1" t="str">
        <f t="shared" si="14"/>
        <v>Permanent</v>
      </c>
    </row>
    <row r="225" spans="1:16" x14ac:dyDescent="0.3">
      <c r="A225" s="7" t="s">
        <v>121</v>
      </c>
      <c r="B225" s="10" t="s">
        <v>215</v>
      </c>
      <c r="C225" s="1" t="s">
        <v>125</v>
      </c>
      <c r="D225" s="1" t="s">
        <v>126</v>
      </c>
      <c r="E225" s="1" t="s">
        <v>256</v>
      </c>
      <c r="F225" s="1">
        <v>132</v>
      </c>
      <c r="G225" s="1" t="str">
        <f t="shared" si="13"/>
        <v>Transmission</v>
      </c>
      <c r="H225" s="1" t="s">
        <v>14</v>
      </c>
      <c r="I225" s="1" t="s">
        <v>31</v>
      </c>
      <c r="J225" s="5" t="s">
        <v>227</v>
      </c>
      <c r="K225" s="1">
        <v>0.81699999999999995</v>
      </c>
      <c r="L225" s="1" t="s">
        <v>17</v>
      </c>
      <c r="M225" s="1" t="s">
        <v>127</v>
      </c>
      <c r="N225" s="1" t="s">
        <v>92</v>
      </c>
      <c r="O225" s="1" t="str">
        <f t="shared" si="16"/>
        <v>High</v>
      </c>
      <c r="P225" s="1" t="str">
        <f t="shared" si="14"/>
        <v>Permanent</v>
      </c>
    </row>
    <row r="226" spans="1:16" x14ac:dyDescent="0.3">
      <c r="A226" s="7" t="s">
        <v>121</v>
      </c>
      <c r="B226" s="11">
        <v>0.62569444444444444</v>
      </c>
      <c r="C226" s="1" t="s">
        <v>128</v>
      </c>
      <c r="D226" s="1" t="s">
        <v>20</v>
      </c>
      <c r="E226" s="1" t="s">
        <v>257</v>
      </c>
      <c r="F226" s="1">
        <v>132</v>
      </c>
      <c r="G226" s="1" t="str">
        <f t="shared" si="13"/>
        <v>Transmission</v>
      </c>
      <c r="H226" s="1" t="s">
        <v>14</v>
      </c>
      <c r="I226" s="1" t="s">
        <v>31</v>
      </c>
      <c r="J226" s="11">
        <v>0.62708333333333333</v>
      </c>
      <c r="K226" s="1">
        <v>3.3000000000000002E-2</v>
      </c>
      <c r="L226" s="1" t="s">
        <v>17</v>
      </c>
      <c r="M226" s="1" t="s">
        <v>129</v>
      </c>
      <c r="N226" s="1" t="s">
        <v>92</v>
      </c>
      <c r="O226" s="1" t="str">
        <f t="shared" si="16"/>
        <v>Low</v>
      </c>
      <c r="P226" s="1" t="str">
        <f t="shared" si="14"/>
        <v>Transient</v>
      </c>
    </row>
    <row r="227" spans="1:16" x14ac:dyDescent="0.3">
      <c r="A227" s="7" t="s">
        <v>135</v>
      </c>
      <c r="B227" s="11">
        <v>0.85</v>
      </c>
      <c r="C227" s="1" t="s">
        <v>137</v>
      </c>
      <c r="D227" s="1" t="s">
        <v>20</v>
      </c>
      <c r="E227" s="1" t="s">
        <v>259</v>
      </c>
      <c r="F227" s="1">
        <v>132</v>
      </c>
      <c r="G227" s="1" t="str">
        <f t="shared" si="13"/>
        <v>Transmission</v>
      </c>
      <c r="H227" s="1" t="s">
        <v>21</v>
      </c>
      <c r="I227" s="1" t="s">
        <v>22</v>
      </c>
      <c r="J227" s="11">
        <v>0.8569444444444444</v>
      </c>
      <c r="K227" s="1">
        <v>0.16700000000000001</v>
      </c>
      <c r="L227" s="1" t="s">
        <v>138</v>
      </c>
      <c r="M227" s="1" t="s">
        <v>139</v>
      </c>
      <c r="N227" s="1" t="s">
        <v>92</v>
      </c>
      <c r="O227" s="1" t="str">
        <f t="shared" si="16"/>
        <v>Medium</v>
      </c>
      <c r="P227" s="1" t="str">
        <f t="shared" si="14"/>
        <v>Sustained</v>
      </c>
    </row>
    <row r="228" spans="1:16" x14ac:dyDescent="0.3">
      <c r="A228" s="7" t="s">
        <v>135</v>
      </c>
      <c r="B228" s="11">
        <v>0.94791666666666663</v>
      </c>
      <c r="C228" s="1" t="s">
        <v>140</v>
      </c>
      <c r="D228" s="1" t="s">
        <v>126</v>
      </c>
      <c r="E228" s="1" t="s">
        <v>260</v>
      </c>
      <c r="F228" s="1">
        <v>132</v>
      </c>
      <c r="G228" s="1" t="str">
        <f t="shared" si="13"/>
        <v>Transmission</v>
      </c>
      <c r="H228" s="1" t="s">
        <v>14</v>
      </c>
      <c r="I228" s="1" t="s">
        <v>64</v>
      </c>
      <c r="J228" s="11">
        <v>0.94791666666666663</v>
      </c>
      <c r="K228" s="1">
        <v>0</v>
      </c>
      <c r="L228" s="1" t="s">
        <v>17</v>
      </c>
      <c r="M228" s="1" t="s">
        <v>141</v>
      </c>
      <c r="N228" s="1" t="s">
        <v>92</v>
      </c>
      <c r="O228" s="1" t="str">
        <f t="shared" si="16"/>
        <v>Low</v>
      </c>
      <c r="P228" s="1" t="str">
        <f t="shared" si="14"/>
        <v>Transient</v>
      </c>
    </row>
    <row r="229" spans="1:16" x14ac:dyDescent="0.3">
      <c r="A229" s="7" t="s">
        <v>142</v>
      </c>
      <c r="B229" s="10" t="s">
        <v>217</v>
      </c>
      <c r="C229" s="1" t="s">
        <v>143</v>
      </c>
      <c r="D229" s="1" t="s">
        <v>126</v>
      </c>
      <c r="E229" s="1" t="s">
        <v>260</v>
      </c>
      <c r="F229" s="1">
        <v>132</v>
      </c>
      <c r="G229" s="1" t="str">
        <f t="shared" si="13"/>
        <v>Transmission</v>
      </c>
      <c r="H229" s="1" t="s">
        <v>14</v>
      </c>
      <c r="I229" s="1" t="s">
        <v>64</v>
      </c>
      <c r="J229" s="5" t="s">
        <v>229</v>
      </c>
      <c r="K229" s="1">
        <v>0.78300000000000003</v>
      </c>
      <c r="L229" s="1" t="s">
        <v>17</v>
      </c>
      <c r="M229" s="1" t="s">
        <v>144</v>
      </c>
      <c r="N229" s="1" t="s">
        <v>92</v>
      </c>
      <c r="O229" s="1" t="str">
        <f t="shared" si="16"/>
        <v>High</v>
      </c>
      <c r="P229" s="1" t="str">
        <f t="shared" si="14"/>
        <v>Permanent</v>
      </c>
    </row>
    <row r="230" spans="1:16" x14ac:dyDescent="0.3">
      <c r="A230" s="7" t="s">
        <v>145</v>
      </c>
      <c r="B230" s="11">
        <v>0.60902777777777783</v>
      </c>
      <c r="C230" s="1" t="s">
        <v>146</v>
      </c>
      <c r="D230" s="1" t="s">
        <v>46</v>
      </c>
      <c r="E230" s="1" t="s">
        <v>241</v>
      </c>
      <c r="F230" s="1">
        <v>400</v>
      </c>
      <c r="G230" s="1" t="str">
        <f t="shared" si="13"/>
        <v>Transmission</v>
      </c>
      <c r="H230" s="1" t="s">
        <v>21</v>
      </c>
      <c r="I230" s="1" t="s">
        <v>31</v>
      </c>
      <c r="J230" s="11">
        <v>0.61458333333333337</v>
      </c>
      <c r="K230" s="1">
        <v>0.13300000000000001</v>
      </c>
      <c r="L230" s="1" t="s">
        <v>17</v>
      </c>
      <c r="M230" s="1" t="s">
        <v>147</v>
      </c>
      <c r="N230" s="1" t="s">
        <v>92</v>
      </c>
      <c r="O230" s="1" t="str">
        <f t="shared" si="16"/>
        <v>Medium</v>
      </c>
      <c r="P230" s="1" t="str">
        <f t="shared" si="14"/>
        <v>Sustained</v>
      </c>
    </row>
    <row r="231" spans="1:16" x14ac:dyDescent="0.3">
      <c r="A231" s="7" t="s">
        <v>145</v>
      </c>
      <c r="B231" s="11">
        <v>0.64583333333333337</v>
      </c>
      <c r="C231" s="1" t="s">
        <v>148</v>
      </c>
      <c r="D231" s="1" t="s">
        <v>46</v>
      </c>
      <c r="E231" s="1" t="s">
        <v>241</v>
      </c>
      <c r="F231" s="1">
        <v>400</v>
      </c>
      <c r="G231" s="1" t="str">
        <f t="shared" si="13"/>
        <v>Transmission</v>
      </c>
      <c r="H231" s="1" t="s">
        <v>21</v>
      </c>
      <c r="I231" s="1" t="s">
        <v>31</v>
      </c>
      <c r="J231" s="12" t="s">
        <v>16</v>
      </c>
      <c r="K231" s="1">
        <v>0</v>
      </c>
      <c r="L231" s="1" t="s">
        <v>17</v>
      </c>
      <c r="M231" s="1" t="s">
        <v>202</v>
      </c>
      <c r="N231" s="1" t="s">
        <v>92</v>
      </c>
      <c r="O231" s="1" t="str">
        <f t="shared" si="16"/>
        <v>Low</v>
      </c>
      <c r="P231" s="1" t="str">
        <f t="shared" si="14"/>
        <v>Transient</v>
      </c>
    </row>
    <row r="232" spans="1:16" x14ac:dyDescent="0.3">
      <c r="A232" s="7" t="s">
        <v>149</v>
      </c>
      <c r="B232" s="11">
        <v>0.91111111111111109</v>
      </c>
      <c r="C232" s="1" t="s">
        <v>150</v>
      </c>
      <c r="D232" s="1" t="s">
        <v>13</v>
      </c>
      <c r="E232" s="1" t="s">
        <v>232</v>
      </c>
      <c r="F232" s="1">
        <v>220</v>
      </c>
      <c r="G232" s="1" t="str">
        <f t="shared" si="13"/>
        <v>Transmission</v>
      </c>
      <c r="H232" s="1" t="s">
        <v>14</v>
      </c>
      <c r="I232" s="1" t="s">
        <v>15</v>
      </c>
      <c r="J232" s="11">
        <v>0.91249999999999998</v>
      </c>
      <c r="K232" s="1">
        <v>3.3000000000000002E-2</v>
      </c>
      <c r="L232" s="1" t="s">
        <v>17</v>
      </c>
      <c r="M232" s="1" t="s">
        <v>151</v>
      </c>
      <c r="N232" s="1" t="s">
        <v>92</v>
      </c>
      <c r="O232" s="1" t="str">
        <f t="shared" ref="O232:O263" si="17">IF(K232&lt;=0.083,"Low",IF(K232&lt;= 0.5,"Medium",IF(K232&gt;0.5,"High")))</f>
        <v>Low</v>
      </c>
      <c r="P232" s="1" t="str">
        <f t="shared" si="14"/>
        <v>Transient</v>
      </c>
    </row>
    <row r="233" spans="1:16" x14ac:dyDescent="0.3">
      <c r="A233" s="7" t="s">
        <v>152</v>
      </c>
      <c r="B233" s="11">
        <v>0.75347222222222221</v>
      </c>
      <c r="C233" s="1" t="s">
        <v>153</v>
      </c>
      <c r="D233" s="1" t="s">
        <v>46</v>
      </c>
      <c r="E233" s="1" t="s">
        <v>261</v>
      </c>
      <c r="F233" s="1">
        <v>400</v>
      </c>
      <c r="G233" s="1" t="str">
        <f t="shared" si="13"/>
        <v>Transmission</v>
      </c>
      <c r="H233" s="1" t="s">
        <v>47</v>
      </c>
      <c r="I233" s="1" t="s">
        <v>15</v>
      </c>
      <c r="J233" s="11">
        <v>0.75694444444444453</v>
      </c>
      <c r="K233" s="1">
        <v>8.3000000000000004E-2</v>
      </c>
      <c r="L233" s="1" t="s">
        <v>17</v>
      </c>
      <c r="M233" s="1" t="s">
        <v>154</v>
      </c>
      <c r="N233" s="1" t="s">
        <v>92</v>
      </c>
      <c r="O233" s="1" t="str">
        <f t="shared" si="17"/>
        <v>Low</v>
      </c>
      <c r="P233" s="1" t="str">
        <f t="shared" si="14"/>
        <v>Transient</v>
      </c>
    </row>
    <row r="234" spans="1:16" x14ac:dyDescent="0.3">
      <c r="A234" s="6">
        <v>44988</v>
      </c>
      <c r="B234" s="11">
        <v>0.75208333333333333</v>
      </c>
      <c r="C234" s="1" t="s">
        <v>155</v>
      </c>
      <c r="D234" s="1" t="s">
        <v>46</v>
      </c>
      <c r="E234" s="1" t="s">
        <v>241</v>
      </c>
      <c r="F234" s="1">
        <v>400</v>
      </c>
      <c r="G234" s="1" t="str">
        <f t="shared" si="13"/>
        <v>Transmission</v>
      </c>
      <c r="H234" s="1" t="s">
        <v>47</v>
      </c>
      <c r="I234" s="1" t="s">
        <v>15</v>
      </c>
      <c r="J234" s="11">
        <v>0.7597222222222223</v>
      </c>
      <c r="K234" s="1">
        <v>0.183</v>
      </c>
      <c r="L234" s="1" t="s">
        <v>48</v>
      </c>
      <c r="M234" s="1" t="s">
        <v>101</v>
      </c>
      <c r="N234" s="1" t="s">
        <v>156</v>
      </c>
      <c r="O234" s="1" t="str">
        <f t="shared" si="17"/>
        <v>Medium</v>
      </c>
      <c r="P234" s="1" t="str">
        <f t="shared" si="14"/>
        <v>Sustained</v>
      </c>
    </row>
    <row r="235" spans="1:16" x14ac:dyDescent="0.3">
      <c r="A235" s="6">
        <v>45110</v>
      </c>
      <c r="B235" s="11">
        <v>0.65763888888888888</v>
      </c>
      <c r="C235" s="1" t="s">
        <v>157</v>
      </c>
      <c r="D235" s="1" t="s">
        <v>46</v>
      </c>
      <c r="E235" s="1" t="s">
        <v>241</v>
      </c>
      <c r="F235" s="1">
        <v>400</v>
      </c>
      <c r="G235" s="1" t="str">
        <f t="shared" si="13"/>
        <v>Transmission</v>
      </c>
      <c r="H235" s="1" t="s">
        <v>47</v>
      </c>
      <c r="I235" s="1" t="s">
        <v>31</v>
      </c>
      <c r="J235" s="11">
        <v>0.68263888888888891</v>
      </c>
      <c r="K235" s="1">
        <v>0.6</v>
      </c>
      <c r="L235" s="1" t="s">
        <v>17</v>
      </c>
      <c r="M235" s="1" t="s">
        <v>158</v>
      </c>
      <c r="N235" s="1" t="s">
        <v>156</v>
      </c>
      <c r="O235" s="1" t="str">
        <f t="shared" si="17"/>
        <v>High</v>
      </c>
      <c r="P235" s="1" t="str">
        <f t="shared" si="14"/>
        <v>Permanent</v>
      </c>
    </row>
    <row r="236" spans="1:16" x14ac:dyDescent="0.3">
      <c r="A236" s="6">
        <v>45172</v>
      </c>
      <c r="B236" s="11">
        <v>0.67708333333333337</v>
      </c>
      <c r="C236" s="1" t="s">
        <v>159</v>
      </c>
      <c r="D236" s="1" t="s">
        <v>46</v>
      </c>
      <c r="E236" s="1" t="s">
        <v>241</v>
      </c>
      <c r="F236" s="1">
        <v>400</v>
      </c>
      <c r="G236" s="1" t="str">
        <f t="shared" si="13"/>
        <v>Transmission</v>
      </c>
      <c r="H236" s="1" t="s">
        <v>47</v>
      </c>
      <c r="I236" s="1" t="s">
        <v>15</v>
      </c>
      <c r="J236" s="11">
        <v>0.68402777777777779</v>
      </c>
      <c r="K236" s="1">
        <v>0.16700000000000001</v>
      </c>
      <c r="L236" s="1" t="s">
        <v>17</v>
      </c>
      <c r="M236" s="1" t="s">
        <v>160</v>
      </c>
      <c r="N236" s="1" t="s">
        <v>156</v>
      </c>
      <c r="O236" s="1" t="str">
        <f t="shared" si="17"/>
        <v>Medium</v>
      </c>
      <c r="P236" s="1" t="str">
        <f t="shared" si="14"/>
        <v>Sustained</v>
      </c>
    </row>
    <row r="237" spans="1:16" x14ac:dyDescent="0.3">
      <c r="A237" s="6">
        <v>45202</v>
      </c>
      <c r="B237" s="11">
        <v>0.61458333333333337</v>
      </c>
      <c r="C237" s="1" t="s">
        <v>161</v>
      </c>
      <c r="D237" s="1" t="s">
        <v>46</v>
      </c>
      <c r="E237" s="1" t="s">
        <v>241</v>
      </c>
      <c r="F237" s="1">
        <v>400</v>
      </c>
      <c r="G237" s="1" t="str">
        <f t="shared" ref="G237:G292" si="18">IF(F237&gt;=132,"Transmission",IF(F237&gt;=66,"Sub-Transmission","Distribution"))</f>
        <v>Transmission</v>
      </c>
      <c r="H237" s="1" t="s">
        <v>47</v>
      </c>
      <c r="I237" s="1" t="s">
        <v>15</v>
      </c>
      <c r="J237" s="11">
        <v>0.61944444444444446</v>
      </c>
      <c r="K237" s="1">
        <v>0.11700000000000001</v>
      </c>
      <c r="L237" s="1" t="s">
        <v>17</v>
      </c>
      <c r="M237" s="1" t="s">
        <v>162</v>
      </c>
      <c r="N237" s="1" t="s">
        <v>156</v>
      </c>
      <c r="O237" s="1" t="str">
        <f t="shared" si="17"/>
        <v>Medium</v>
      </c>
      <c r="P237" s="1" t="str">
        <f t="shared" ref="P237:P292" si="19">IF(O237="Low","Transient",IF(O237="Medium","Sustained",IF(O237="High","Permanent")))</f>
        <v>Sustained</v>
      </c>
    </row>
    <row r="238" spans="1:16" x14ac:dyDescent="0.3">
      <c r="A238" s="7" t="s">
        <v>163</v>
      </c>
      <c r="B238" s="11">
        <v>0.67291666666666661</v>
      </c>
      <c r="C238" s="1" t="s">
        <v>168</v>
      </c>
      <c r="D238" s="1" t="s">
        <v>13</v>
      </c>
      <c r="E238" s="1" t="s">
        <v>232</v>
      </c>
      <c r="F238" s="1">
        <v>220</v>
      </c>
      <c r="G238" s="1" t="str">
        <f t="shared" si="18"/>
        <v>Transmission</v>
      </c>
      <c r="H238" s="1" t="s">
        <v>14</v>
      </c>
      <c r="I238" s="1" t="s">
        <v>15</v>
      </c>
      <c r="J238" s="11">
        <v>0.68055555555555547</v>
      </c>
      <c r="K238" s="1">
        <v>0.183</v>
      </c>
      <c r="L238" s="1" t="s">
        <v>17</v>
      </c>
      <c r="M238" s="1" t="s">
        <v>169</v>
      </c>
      <c r="N238" s="1" t="s">
        <v>156</v>
      </c>
      <c r="O238" s="1" t="str">
        <f t="shared" si="17"/>
        <v>Medium</v>
      </c>
      <c r="P238" s="1" t="str">
        <f t="shared" si="19"/>
        <v>Sustained</v>
      </c>
    </row>
    <row r="239" spans="1:16" x14ac:dyDescent="0.3">
      <c r="A239" s="7" t="s">
        <v>170</v>
      </c>
      <c r="B239" s="11">
        <v>0.6777777777777777</v>
      </c>
      <c r="C239" s="1" t="s">
        <v>157</v>
      </c>
      <c r="D239" s="1" t="s">
        <v>171</v>
      </c>
      <c r="E239" s="1" t="s">
        <v>263</v>
      </c>
      <c r="F239" s="1">
        <v>132</v>
      </c>
      <c r="G239" s="1" t="str">
        <f t="shared" si="18"/>
        <v>Transmission</v>
      </c>
      <c r="H239" s="1" t="s">
        <v>14</v>
      </c>
      <c r="I239" s="1" t="s">
        <v>64</v>
      </c>
      <c r="J239" s="11">
        <v>0.73055555555555562</v>
      </c>
      <c r="K239" s="1">
        <v>1.27</v>
      </c>
      <c r="L239" s="1" t="s">
        <v>65</v>
      </c>
      <c r="M239" s="1" t="s">
        <v>172</v>
      </c>
      <c r="N239" s="1" t="s">
        <v>156</v>
      </c>
      <c r="O239" s="1" t="str">
        <f t="shared" si="17"/>
        <v>High</v>
      </c>
      <c r="P239" s="1" t="str">
        <f t="shared" si="19"/>
        <v>Permanent</v>
      </c>
    </row>
    <row r="240" spans="1:16" x14ac:dyDescent="0.3">
      <c r="A240" s="7" t="s">
        <v>170</v>
      </c>
      <c r="B240" s="11">
        <v>0.69097222222222221</v>
      </c>
      <c r="C240" s="1" t="s">
        <v>157</v>
      </c>
      <c r="D240" s="1" t="s">
        <v>13</v>
      </c>
      <c r="E240" s="1" t="s">
        <v>264</v>
      </c>
      <c r="F240" s="1">
        <v>132</v>
      </c>
      <c r="G240" s="1" t="str">
        <f t="shared" si="18"/>
        <v>Transmission</v>
      </c>
      <c r="H240" s="1" t="s">
        <v>14</v>
      </c>
      <c r="I240" s="1" t="s">
        <v>64</v>
      </c>
      <c r="J240" s="12" t="s">
        <v>16</v>
      </c>
      <c r="K240" s="1">
        <v>0</v>
      </c>
      <c r="L240" s="1" t="s">
        <v>173</v>
      </c>
      <c r="M240" s="1" t="s">
        <v>174</v>
      </c>
      <c r="N240" s="1" t="s">
        <v>156</v>
      </c>
      <c r="O240" s="1" t="str">
        <f t="shared" si="17"/>
        <v>Low</v>
      </c>
      <c r="P240" s="1" t="str">
        <f t="shared" si="19"/>
        <v>Transient</v>
      </c>
    </row>
    <row r="241" spans="1:16" x14ac:dyDescent="0.3">
      <c r="A241" s="7" t="s">
        <v>179</v>
      </c>
      <c r="B241" s="11">
        <v>0.6069444444444444</v>
      </c>
      <c r="C241" s="1" t="s">
        <v>180</v>
      </c>
      <c r="D241" s="1" t="s">
        <v>52</v>
      </c>
      <c r="E241" s="1" t="s">
        <v>266</v>
      </c>
      <c r="F241" s="1">
        <v>220</v>
      </c>
      <c r="G241" s="1" t="str">
        <f t="shared" si="18"/>
        <v>Transmission</v>
      </c>
      <c r="H241" s="1" t="s">
        <v>47</v>
      </c>
      <c r="I241" s="1" t="s">
        <v>31</v>
      </c>
      <c r="J241" s="11">
        <v>0.63888888888888895</v>
      </c>
      <c r="K241" s="1">
        <v>0.77</v>
      </c>
      <c r="L241" s="1" t="s">
        <v>17</v>
      </c>
      <c r="M241" s="1" t="s">
        <v>181</v>
      </c>
      <c r="N241" s="1" t="s">
        <v>156</v>
      </c>
      <c r="O241" s="1" t="str">
        <f t="shared" si="17"/>
        <v>High</v>
      </c>
      <c r="P241" s="1" t="str">
        <f t="shared" si="19"/>
        <v>Permanent</v>
      </c>
    </row>
    <row r="242" spans="1:16" x14ac:dyDescent="0.3">
      <c r="A242" s="7" t="s">
        <v>182</v>
      </c>
      <c r="B242" s="11">
        <v>0.57777777777777783</v>
      </c>
      <c r="C242" s="1" t="s">
        <v>183</v>
      </c>
      <c r="D242" s="1" t="s">
        <v>30</v>
      </c>
      <c r="E242" s="1" t="s">
        <v>267</v>
      </c>
      <c r="F242" s="1">
        <v>132</v>
      </c>
      <c r="G242" s="1" t="str">
        <f t="shared" si="18"/>
        <v>Transmission</v>
      </c>
      <c r="H242" s="1" t="s">
        <v>21</v>
      </c>
      <c r="I242" s="1" t="s">
        <v>31</v>
      </c>
      <c r="J242" s="11">
        <v>0.60833333333333328</v>
      </c>
      <c r="K242" s="1">
        <v>0.7</v>
      </c>
      <c r="L242" s="1" t="s">
        <v>184</v>
      </c>
      <c r="M242" s="1" t="s">
        <v>185</v>
      </c>
      <c r="N242" s="1" t="s">
        <v>156</v>
      </c>
      <c r="O242" s="1" t="str">
        <f t="shared" si="17"/>
        <v>High</v>
      </c>
      <c r="P242" s="1" t="str">
        <f t="shared" si="19"/>
        <v>Permanent</v>
      </c>
    </row>
    <row r="243" spans="1:16" x14ac:dyDescent="0.3">
      <c r="A243" s="7" t="s">
        <v>190</v>
      </c>
      <c r="B243" s="10" t="s">
        <v>219</v>
      </c>
      <c r="C243" s="1" t="s">
        <v>192</v>
      </c>
      <c r="D243" s="1" t="s">
        <v>193</v>
      </c>
      <c r="E243" s="1" t="s">
        <v>270</v>
      </c>
      <c r="F243" s="1">
        <v>132</v>
      </c>
      <c r="G243" s="1" t="str">
        <f t="shared" si="18"/>
        <v>Transmission</v>
      </c>
      <c r="H243" s="1" t="s">
        <v>14</v>
      </c>
      <c r="I243" s="1" t="s">
        <v>15</v>
      </c>
      <c r="J243" s="10" t="s">
        <v>230</v>
      </c>
      <c r="K243" s="1">
        <v>0.183</v>
      </c>
      <c r="L243" s="1" t="s">
        <v>194</v>
      </c>
      <c r="M243" s="1" t="s">
        <v>195</v>
      </c>
      <c r="N243" s="1" t="s">
        <v>156</v>
      </c>
      <c r="O243" s="1" t="str">
        <f t="shared" si="17"/>
        <v>Medium</v>
      </c>
      <c r="P243" s="1" t="str">
        <f t="shared" si="19"/>
        <v>Sustained</v>
      </c>
    </row>
    <row r="244" spans="1:16" x14ac:dyDescent="0.3">
      <c r="A244" s="7" t="s">
        <v>190</v>
      </c>
      <c r="B244" s="11">
        <v>0.65277777777777779</v>
      </c>
      <c r="C244" s="1" t="s">
        <v>196</v>
      </c>
      <c r="D244" s="1" t="s">
        <v>86</v>
      </c>
      <c r="E244" s="1" t="s">
        <v>271</v>
      </c>
      <c r="F244" s="1">
        <v>132</v>
      </c>
      <c r="G244" s="1" t="str">
        <f t="shared" si="18"/>
        <v>Transmission</v>
      </c>
      <c r="H244" s="1" t="s">
        <v>87</v>
      </c>
      <c r="I244" s="1" t="s">
        <v>22</v>
      </c>
      <c r="J244" s="11">
        <v>0.6958333333333333</v>
      </c>
      <c r="K244" s="1">
        <v>1.03</v>
      </c>
      <c r="L244" s="1" t="s">
        <v>17</v>
      </c>
      <c r="M244" s="1" t="s">
        <v>197</v>
      </c>
      <c r="N244" s="1" t="s">
        <v>156</v>
      </c>
      <c r="O244" s="1" t="str">
        <f t="shared" si="17"/>
        <v>High</v>
      </c>
      <c r="P244" s="1" t="str">
        <f t="shared" si="19"/>
        <v>Permanent</v>
      </c>
    </row>
    <row r="245" spans="1:16" x14ac:dyDescent="0.3">
      <c r="A245" s="7" t="s">
        <v>190</v>
      </c>
      <c r="B245" s="11">
        <v>0.73472222222222217</v>
      </c>
      <c r="C245" s="1" t="s">
        <v>198</v>
      </c>
      <c r="D245" s="1" t="s">
        <v>199</v>
      </c>
      <c r="E245" s="1" t="s">
        <v>272</v>
      </c>
      <c r="F245" s="1">
        <v>132</v>
      </c>
      <c r="G245" s="1" t="str">
        <f t="shared" si="18"/>
        <v>Transmission</v>
      </c>
      <c r="H245" s="1" t="s">
        <v>14</v>
      </c>
      <c r="I245" s="1" t="s">
        <v>64</v>
      </c>
      <c r="J245" s="11">
        <v>0.76527777777777783</v>
      </c>
      <c r="K245" s="1">
        <v>0.73</v>
      </c>
      <c r="L245" s="1" t="s">
        <v>17</v>
      </c>
      <c r="M245" s="1" t="s">
        <v>200</v>
      </c>
      <c r="N245" s="1" t="s">
        <v>156</v>
      </c>
      <c r="O245" s="1" t="str">
        <f t="shared" si="17"/>
        <v>High</v>
      </c>
      <c r="P245" s="1" t="str">
        <f t="shared" si="19"/>
        <v>Permanent</v>
      </c>
    </row>
    <row r="246" spans="1:16" x14ac:dyDescent="0.3">
      <c r="A246" s="7" t="s">
        <v>284</v>
      </c>
      <c r="B246" s="11">
        <v>0.38680555555555557</v>
      </c>
      <c r="C246" s="1" t="s">
        <v>285</v>
      </c>
      <c r="D246" s="1" t="s">
        <v>286</v>
      </c>
      <c r="E246" s="1" t="s">
        <v>287</v>
      </c>
      <c r="F246" s="7">
        <v>132</v>
      </c>
      <c r="G246" s="1" t="str">
        <f t="shared" si="18"/>
        <v>Transmission</v>
      </c>
      <c r="H246" s="1" t="s">
        <v>288</v>
      </c>
      <c r="I246" s="1" t="s">
        <v>15</v>
      </c>
      <c r="J246" s="11">
        <v>0.40625</v>
      </c>
      <c r="K246" s="1">
        <v>0.47</v>
      </c>
      <c r="L246" s="1" t="s">
        <v>17</v>
      </c>
      <c r="M246" s="1" t="s">
        <v>289</v>
      </c>
      <c r="N246" s="1" t="s">
        <v>278</v>
      </c>
      <c r="O246" s="1" t="str">
        <f t="shared" si="17"/>
        <v>Medium</v>
      </c>
      <c r="P246" s="1" t="str">
        <f t="shared" si="19"/>
        <v>Sustained</v>
      </c>
    </row>
    <row r="247" spans="1:16" x14ac:dyDescent="0.3">
      <c r="A247" s="7" t="s">
        <v>284</v>
      </c>
      <c r="B247" s="11">
        <v>0.38680555555555557</v>
      </c>
      <c r="C247" s="1" t="s">
        <v>285</v>
      </c>
      <c r="D247" s="1" t="s">
        <v>286</v>
      </c>
      <c r="E247" s="1" t="s">
        <v>290</v>
      </c>
      <c r="F247" s="7">
        <v>132</v>
      </c>
      <c r="G247" s="1" t="str">
        <f t="shared" si="18"/>
        <v>Transmission</v>
      </c>
      <c r="H247" s="1" t="s">
        <v>288</v>
      </c>
      <c r="I247" s="1" t="s">
        <v>15</v>
      </c>
      <c r="J247" s="11">
        <v>0.40625</v>
      </c>
      <c r="K247" s="1">
        <v>0.47</v>
      </c>
      <c r="L247" s="1" t="s">
        <v>17</v>
      </c>
      <c r="M247" s="1" t="s">
        <v>289</v>
      </c>
      <c r="N247" s="1" t="s">
        <v>278</v>
      </c>
      <c r="O247" s="1" t="str">
        <f t="shared" si="17"/>
        <v>Medium</v>
      </c>
      <c r="P247" s="1" t="str">
        <f t="shared" si="19"/>
        <v>Sustained</v>
      </c>
    </row>
    <row r="248" spans="1:16" x14ac:dyDescent="0.3">
      <c r="A248" s="7" t="s">
        <v>284</v>
      </c>
      <c r="B248" s="11">
        <v>0.38680555555555557</v>
      </c>
      <c r="C248" s="1" t="s">
        <v>285</v>
      </c>
      <c r="D248" s="1" t="s">
        <v>291</v>
      </c>
      <c r="E248" s="1" t="s">
        <v>292</v>
      </c>
      <c r="F248" s="7">
        <v>132</v>
      </c>
      <c r="G248" s="1" t="str">
        <f t="shared" si="18"/>
        <v>Transmission</v>
      </c>
      <c r="H248" s="1" t="s">
        <v>288</v>
      </c>
      <c r="I248" s="1" t="s">
        <v>15</v>
      </c>
      <c r="J248" s="11">
        <v>0.40625</v>
      </c>
      <c r="K248" s="1">
        <v>0.47</v>
      </c>
      <c r="L248" s="1" t="s">
        <v>17</v>
      </c>
      <c r="M248" s="1" t="s">
        <v>289</v>
      </c>
      <c r="N248" s="1" t="s">
        <v>278</v>
      </c>
      <c r="O248" s="1" t="str">
        <f t="shared" si="17"/>
        <v>Medium</v>
      </c>
      <c r="P248" s="1" t="str">
        <f t="shared" si="19"/>
        <v>Sustained</v>
      </c>
    </row>
    <row r="249" spans="1:16" x14ac:dyDescent="0.3">
      <c r="A249" s="6">
        <v>45081</v>
      </c>
      <c r="B249" s="11">
        <v>6.0416666666666667E-2</v>
      </c>
      <c r="C249" s="1" t="s">
        <v>293</v>
      </c>
      <c r="D249" s="1" t="s">
        <v>282</v>
      </c>
      <c r="E249" s="1" t="s">
        <v>294</v>
      </c>
      <c r="F249" s="7">
        <v>132</v>
      </c>
      <c r="G249" s="1" t="str">
        <f t="shared" si="18"/>
        <v>Transmission</v>
      </c>
      <c r="H249" s="1" t="s">
        <v>14</v>
      </c>
      <c r="I249" s="1" t="s">
        <v>64</v>
      </c>
      <c r="J249" s="11">
        <v>6.8749999999999992E-2</v>
      </c>
      <c r="K249" s="1">
        <v>0.2</v>
      </c>
      <c r="L249" s="1" t="s">
        <v>17</v>
      </c>
      <c r="M249" s="1" t="s">
        <v>295</v>
      </c>
      <c r="N249" s="1" t="s">
        <v>278</v>
      </c>
      <c r="O249" s="1" t="str">
        <f t="shared" si="17"/>
        <v>Medium</v>
      </c>
      <c r="P249" s="1" t="str">
        <f t="shared" si="19"/>
        <v>Sustained</v>
      </c>
    </row>
    <row r="250" spans="1:16" x14ac:dyDescent="0.3">
      <c r="A250" s="6">
        <v>45111</v>
      </c>
      <c r="B250" s="11">
        <v>0.33819444444444446</v>
      </c>
      <c r="C250" s="1" t="s">
        <v>180</v>
      </c>
      <c r="D250" s="1" t="s">
        <v>296</v>
      </c>
      <c r="E250" s="1" t="s">
        <v>297</v>
      </c>
      <c r="F250" s="7">
        <v>132</v>
      </c>
      <c r="G250" s="1" t="str">
        <f t="shared" si="18"/>
        <v>Transmission</v>
      </c>
      <c r="H250" s="1" t="s">
        <v>14</v>
      </c>
      <c r="I250" s="1" t="s">
        <v>15</v>
      </c>
      <c r="J250" s="11">
        <v>0.3743055555555555</v>
      </c>
      <c r="K250" s="1">
        <v>0.87</v>
      </c>
      <c r="L250" s="1" t="s">
        <v>17</v>
      </c>
      <c r="M250" s="1" t="s">
        <v>298</v>
      </c>
      <c r="N250" s="1" t="s">
        <v>278</v>
      </c>
      <c r="O250" s="1" t="str">
        <f t="shared" si="17"/>
        <v>High</v>
      </c>
      <c r="P250" s="1" t="str">
        <f t="shared" si="19"/>
        <v>Permanent</v>
      </c>
    </row>
    <row r="251" spans="1:16" x14ac:dyDescent="0.3">
      <c r="A251" s="6">
        <v>45111</v>
      </c>
      <c r="B251" s="11">
        <v>0.33819444444444446</v>
      </c>
      <c r="C251" s="1" t="s">
        <v>180</v>
      </c>
      <c r="D251" s="1" t="s">
        <v>307</v>
      </c>
      <c r="E251" s="1" t="s">
        <v>308</v>
      </c>
      <c r="F251" s="7">
        <v>132</v>
      </c>
      <c r="G251" s="1" t="str">
        <f t="shared" si="18"/>
        <v>Transmission</v>
      </c>
      <c r="H251" s="1" t="s">
        <v>14</v>
      </c>
      <c r="I251" s="1" t="s">
        <v>15</v>
      </c>
      <c r="J251" s="11">
        <v>0.47986111111111113</v>
      </c>
      <c r="K251" s="1">
        <v>3.4</v>
      </c>
      <c r="L251" s="1" t="s">
        <v>309</v>
      </c>
      <c r="M251" s="1"/>
      <c r="N251" s="1" t="s">
        <v>278</v>
      </c>
      <c r="O251" s="1" t="str">
        <f t="shared" si="17"/>
        <v>High</v>
      </c>
      <c r="P251" s="1" t="str">
        <f t="shared" si="19"/>
        <v>Permanent</v>
      </c>
    </row>
    <row r="252" spans="1:16" x14ac:dyDescent="0.3">
      <c r="A252" s="6">
        <v>45142</v>
      </c>
      <c r="B252" s="11">
        <v>0.23055555555555554</v>
      </c>
      <c r="C252" s="1" t="s">
        <v>198</v>
      </c>
      <c r="D252" s="1" t="s">
        <v>52</v>
      </c>
      <c r="E252" s="1" t="s">
        <v>312</v>
      </c>
      <c r="F252" s="7">
        <v>220</v>
      </c>
      <c r="G252" s="1" t="str">
        <f t="shared" si="18"/>
        <v>Transmission</v>
      </c>
      <c r="H252" s="1" t="s">
        <v>313</v>
      </c>
      <c r="I252" s="1" t="s">
        <v>314</v>
      </c>
      <c r="J252" s="11">
        <v>9.3055555555555558E-2</v>
      </c>
      <c r="K252" s="1">
        <v>1.65</v>
      </c>
      <c r="L252" s="1" t="s">
        <v>315</v>
      </c>
      <c r="M252" s="1" t="s">
        <v>295</v>
      </c>
      <c r="N252" s="1" t="s">
        <v>278</v>
      </c>
      <c r="O252" s="1" t="str">
        <f t="shared" si="17"/>
        <v>High</v>
      </c>
      <c r="P252" s="1" t="str">
        <f t="shared" si="19"/>
        <v>Permanent</v>
      </c>
    </row>
    <row r="253" spans="1:16" x14ac:dyDescent="0.3">
      <c r="A253" s="6">
        <v>45142</v>
      </c>
      <c r="B253" s="11">
        <v>0.23055555555555554</v>
      </c>
      <c r="C253" s="1" t="s">
        <v>198</v>
      </c>
      <c r="D253" s="1" t="s">
        <v>316</v>
      </c>
      <c r="E253" s="1" t="s">
        <v>317</v>
      </c>
      <c r="F253" s="7">
        <v>220</v>
      </c>
      <c r="G253" s="1" t="str">
        <f t="shared" si="18"/>
        <v>Transmission</v>
      </c>
      <c r="H253" s="1" t="s">
        <v>313</v>
      </c>
      <c r="I253" s="1" t="s">
        <v>314</v>
      </c>
      <c r="J253" s="11">
        <v>9.3055555555555558E-2</v>
      </c>
      <c r="K253" s="1">
        <v>1.65</v>
      </c>
      <c r="L253" s="1" t="s">
        <v>48</v>
      </c>
      <c r="M253" s="1" t="s">
        <v>295</v>
      </c>
      <c r="N253" s="1" t="s">
        <v>278</v>
      </c>
      <c r="O253" s="1" t="str">
        <f t="shared" si="17"/>
        <v>High</v>
      </c>
      <c r="P253" s="1" t="str">
        <f t="shared" si="19"/>
        <v>Permanent</v>
      </c>
    </row>
    <row r="254" spans="1:16" x14ac:dyDescent="0.3">
      <c r="A254" s="6">
        <v>45173</v>
      </c>
      <c r="B254" s="11">
        <v>0.12152777777777778</v>
      </c>
      <c r="C254" s="1" t="s">
        <v>318</v>
      </c>
      <c r="D254" s="1" t="s">
        <v>319</v>
      </c>
      <c r="E254" s="1" t="s">
        <v>320</v>
      </c>
      <c r="F254" s="7">
        <v>132</v>
      </c>
      <c r="G254" s="1" t="str">
        <f t="shared" si="18"/>
        <v>Transmission</v>
      </c>
      <c r="H254" s="1" t="s">
        <v>14</v>
      </c>
      <c r="I254" s="1" t="s">
        <v>64</v>
      </c>
      <c r="J254" s="11">
        <v>0.1423611111111111</v>
      </c>
      <c r="K254" s="1">
        <v>0.5</v>
      </c>
      <c r="L254" s="1" t="s">
        <v>321</v>
      </c>
      <c r="M254" s="1" t="s">
        <v>322</v>
      </c>
      <c r="N254" s="1" t="s">
        <v>278</v>
      </c>
      <c r="O254" s="1" t="str">
        <f t="shared" si="17"/>
        <v>Medium</v>
      </c>
      <c r="P254" s="1" t="str">
        <f t="shared" si="19"/>
        <v>Sustained</v>
      </c>
    </row>
    <row r="255" spans="1:16" x14ac:dyDescent="0.3">
      <c r="A255" s="6">
        <v>45173</v>
      </c>
      <c r="B255" s="11">
        <v>0.12152777777777778</v>
      </c>
      <c r="C255" s="1" t="s">
        <v>318</v>
      </c>
      <c r="D255" s="1" t="s">
        <v>319</v>
      </c>
      <c r="E255" s="1" t="s">
        <v>323</v>
      </c>
      <c r="F255" s="7">
        <v>132</v>
      </c>
      <c r="G255" s="1" t="str">
        <f t="shared" si="18"/>
        <v>Transmission</v>
      </c>
      <c r="H255" s="1" t="s">
        <v>14</v>
      </c>
      <c r="I255" s="1" t="s">
        <v>64</v>
      </c>
      <c r="J255" s="11">
        <v>0.1423611111111111</v>
      </c>
      <c r="K255" s="1">
        <v>0.5</v>
      </c>
      <c r="L255" s="1" t="s">
        <v>321</v>
      </c>
      <c r="M255" s="1"/>
      <c r="N255" s="1" t="s">
        <v>278</v>
      </c>
      <c r="O255" s="1" t="str">
        <f t="shared" si="17"/>
        <v>Medium</v>
      </c>
      <c r="P255" s="1" t="str">
        <f t="shared" si="19"/>
        <v>Sustained</v>
      </c>
    </row>
    <row r="256" spans="1:16" x14ac:dyDescent="0.3">
      <c r="A256" s="6">
        <v>45173</v>
      </c>
      <c r="B256" s="11">
        <v>0.12152777777777778</v>
      </c>
      <c r="C256" s="1" t="s">
        <v>318</v>
      </c>
      <c r="D256" s="1" t="s">
        <v>13</v>
      </c>
      <c r="E256" s="1" t="s">
        <v>324</v>
      </c>
      <c r="F256" s="7">
        <v>132</v>
      </c>
      <c r="G256" s="1" t="str">
        <f t="shared" si="18"/>
        <v>Transmission</v>
      </c>
      <c r="H256" s="1" t="s">
        <v>14</v>
      </c>
      <c r="I256" s="1" t="s">
        <v>15</v>
      </c>
      <c r="J256" s="11">
        <v>0.1423611111111111</v>
      </c>
      <c r="K256" s="1">
        <v>0.5</v>
      </c>
      <c r="L256" s="1" t="s">
        <v>321</v>
      </c>
      <c r="M256" s="1" t="s">
        <v>322</v>
      </c>
      <c r="N256" s="1" t="s">
        <v>278</v>
      </c>
      <c r="O256" s="1" t="str">
        <f t="shared" si="17"/>
        <v>Medium</v>
      </c>
      <c r="P256" s="1" t="str">
        <f t="shared" si="19"/>
        <v>Sustained</v>
      </c>
    </row>
    <row r="257" spans="1:16" x14ac:dyDescent="0.3">
      <c r="A257" s="6">
        <v>45173</v>
      </c>
      <c r="B257" s="11">
        <v>0.12152777777777778</v>
      </c>
      <c r="C257" s="1" t="s">
        <v>318</v>
      </c>
      <c r="D257" s="1" t="s">
        <v>13</v>
      </c>
      <c r="E257" s="1" t="s">
        <v>325</v>
      </c>
      <c r="F257" s="7">
        <v>132</v>
      </c>
      <c r="G257" s="1" t="str">
        <f t="shared" si="18"/>
        <v>Transmission</v>
      </c>
      <c r="H257" s="1" t="s">
        <v>14</v>
      </c>
      <c r="I257" s="1" t="s">
        <v>15</v>
      </c>
      <c r="J257" s="11">
        <v>0.1423611111111111</v>
      </c>
      <c r="K257" s="1">
        <v>0.5</v>
      </c>
      <c r="L257" s="1" t="s">
        <v>321</v>
      </c>
      <c r="M257" s="1"/>
      <c r="N257" s="1" t="s">
        <v>278</v>
      </c>
      <c r="O257" s="1" t="str">
        <f t="shared" si="17"/>
        <v>Medium</v>
      </c>
      <c r="P257" s="1" t="str">
        <f t="shared" si="19"/>
        <v>Sustained</v>
      </c>
    </row>
    <row r="258" spans="1:16" x14ac:dyDescent="0.3">
      <c r="A258" s="6">
        <v>45234</v>
      </c>
      <c r="B258" s="11">
        <v>0.18124999999999999</v>
      </c>
      <c r="C258" s="1" t="s">
        <v>330</v>
      </c>
      <c r="D258" s="1" t="s">
        <v>13</v>
      </c>
      <c r="E258" s="1" t="s">
        <v>331</v>
      </c>
      <c r="F258" s="7">
        <v>132</v>
      </c>
      <c r="G258" s="1" t="str">
        <f t="shared" si="18"/>
        <v>Transmission</v>
      </c>
      <c r="H258" s="1" t="s">
        <v>14</v>
      </c>
      <c r="I258" s="1" t="s">
        <v>15</v>
      </c>
      <c r="J258" s="11">
        <v>0.29444444444444445</v>
      </c>
      <c r="K258" s="1">
        <v>2.72</v>
      </c>
      <c r="L258" s="1" t="s">
        <v>332</v>
      </c>
      <c r="M258" s="1" t="s">
        <v>295</v>
      </c>
      <c r="N258" s="1" t="s">
        <v>278</v>
      </c>
      <c r="O258" s="1" t="str">
        <f t="shared" si="17"/>
        <v>High</v>
      </c>
      <c r="P258" s="1" t="str">
        <f t="shared" si="19"/>
        <v>Permanent</v>
      </c>
    </row>
    <row r="259" spans="1:16" x14ac:dyDescent="0.3">
      <c r="A259" s="6">
        <v>45234</v>
      </c>
      <c r="B259" s="11">
        <v>0.18124999999999999</v>
      </c>
      <c r="C259" s="1" t="s">
        <v>330</v>
      </c>
      <c r="D259" s="1" t="s">
        <v>13</v>
      </c>
      <c r="E259" s="1" t="s">
        <v>333</v>
      </c>
      <c r="F259" s="7">
        <v>132</v>
      </c>
      <c r="G259" s="1" t="str">
        <f t="shared" si="18"/>
        <v>Transmission</v>
      </c>
      <c r="H259" s="1" t="s">
        <v>14</v>
      </c>
      <c r="I259" s="1" t="s">
        <v>15</v>
      </c>
      <c r="J259" s="11">
        <v>0.29375000000000001</v>
      </c>
      <c r="K259" s="1">
        <v>2.7</v>
      </c>
      <c r="L259" s="1" t="s">
        <v>321</v>
      </c>
      <c r="M259" s="1" t="s">
        <v>295</v>
      </c>
      <c r="N259" s="1" t="s">
        <v>278</v>
      </c>
      <c r="O259" s="1" t="str">
        <f t="shared" si="17"/>
        <v>High</v>
      </c>
      <c r="P259" s="1" t="str">
        <f t="shared" si="19"/>
        <v>Permanent</v>
      </c>
    </row>
    <row r="260" spans="1:16" x14ac:dyDescent="0.3">
      <c r="A260" s="6">
        <v>45234</v>
      </c>
      <c r="B260" s="11">
        <v>0.18124999999999999</v>
      </c>
      <c r="C260" s="1" t="s">
        <v>330</v>
      </c>
      <c r="D260" s="1" t="s">
        <v>13</v>
      </c>
      <c r="E260" s="1" t="s">
        <v>334</v>
      </c>
      <c r="F260" s="7">
        <v>132</v>
      </c>
      <c r="G260" s="1" t="str">
        <f t="shared" si="18"/>
        <v>Transmission</v>
      </c>
      <c r="H260" s="1" t="s">
        <v>14</v>
      </c>
      <c r="I260" s="1" t="s">
        <v>15</v>
      </c>
      <c r="J260" s="11">
        <v>0.2951388888888889</v>
      </c>
      <c r="K260" s="1">
        <v>2.73</v>
      </c>
      <c r="L260" s="1" t="s">
        <v>335</v>
      </c>
      <c r="M260" s="1" t="s">
        <v>295</v>
      </c>
      <c r="N260" s="1" t="s">
        <v>278</v>
      </c>
      <c r="O260" s="1" t="str">
        <f t="shared" si="17"/>
        <v>High</v>
      </c>
      <c r="P260" s="1" t="str">
        <f t="shared" si="19"/>
        <v>Permanent</v>
      </c>
    </row>
    <row r="261" spans="1:16" x14ac:dyDescent="0.3">
      <c r="A261" s="6">
        <v>45234</v>
      </c>
      <c r="B261" s="11">
        <v>0.18124999999999999</v>
      </c>
      <c r="C261" s="1" t="s">
        <v>330</v>
      </c>
      <c r="D261" s="1" t="s">
        <v>13</v>
      </c>
      <c r="E261" s="1" t="s">
        <v>336</v>
      </c>
      <c r="F261" s="7">
        <v>132</v>
      </c>
      <c r="G261" s="1" t="str">
        <f t="shared" si="18"/>
        <v>Transmission</v>
      </c>
      <c r="H261" s="1" t="s">
        <v>14</v>
      </c>
      <c r="I261" s="1" t="s">
        <v>15</v>
      </c>
      <c r="J261" s="11">
        <v>0.2951388888888889</v>
      </c>
      <c r="K261" s="1">
        <v>2.73</v>
      </c>
      <c r="L261" s="1" t="s">
        <v>335</v>
      </c>
      <c r="M261" s="1" t="s">
        <v>295</v>
      </c>
      <c r="N261" s="1" t="s">
        <v>278</v>
      </c>
      <c r="O261" s="1" t="str">
        <f t="shared" si="17"/>
        <v>High</v>
      </c>
      <c r="P261" s="1" t="str">
        <f t="shared" si="19"/>
        <v>Permanent</v>
      </c>
    </row>
    <row r="262" spans="1:16" x14ac:dyDescent="0.3">
      <c r="A262" s="6">
        <v>45234</v>
      </c>
      <c r="B262" s="11">
        <v>0.18124999999999999</v>
      </c>
      <c r="C262" s="1" t="s">
        <v>330</v>
      </c>
      <c r="D262" s="1" t="s">
        <v>13</v>
      </c>
      <c r="E262" s="1" t="s">
        <v>337</v>
      </c>
      <c r="F262" s="7">
        <v>132</v>
      </c>
      <c r="G262" s="1" t="str">
        <f t="shared" si="18"/>
        <v>Transmission</v>
      </c>
      <c r="H262" s="1" t="s">
        <v>14</v>
      </c>
      <c r="I262" s="1" t="s">
        <v>15</v>
      </c>
      <c r="J262" s="11">
        <v>0.29375000000000001</v>
      </c>
      <c r="K262" s="1">
        <v>2.7</v>
      </c>
      <c r="L262" s="1" t="s">
        <v>335</v>
      </c>
      <c r="M262" s="1" t="s">
        <v>295</v>
      </c>
      <c r="N262" s="1" t="s">
        <v>278</v>
      </c>
      <c r="O262" s="1" t="str">
        <f t="shared" si="17"/>
        <v>High</v>
      </c>
      <c r="P262" s="1" t="str">
        <f t="shared" si="19"/>
        <v>Permanent</v>
      </c>
    </row>
    <row r="263" spans="1:16" x14ac:dyDescent="0.3">
      <c r="A263" s="6">
        <v>45264</v>
      </c>
      <c r="B263" s="11">
        <v>0.74236111111111114</v>
      </c>
      <c r="C263" s="1" t="s">
        <v>59</v>
      </c>
      <c r="D263" s="1" t="s">
        <v>282</v>
      </c>
      <c r="E263" s="1" t="s">
        <v>338</v>
      </c>
      <c r="F263" s="7">
        <v>132</v>
      </c>
      <c r="G263" s="1" t="str">
        <f t="shared" si="18"/>
        <v>Transmission</v>
      </c>
      <c r="H263" s="1" t="s">
        <v>14</v>
      </c>
      <c r="I263" s="1" t="s">
        <v>15</v>
      </c>
      <c r="J263" s="11">
        <v>0.83263888888888893</v>
      </c>
      <c r="K263" s="1">
        <v>2.1800000000000002</v>
      </c>
      <c r="L263" s="1" t="s">
        <v>17</v>
      </c>
      <c r="M263" s="1" t="s">
        <v>339</v>
      </c>
      <c r="N263" s="1" t="s">
        <v>278</v>
      </c>
      <c r="O263" s="1" t="str">
        <f t="shared" si="17"/>
        <v>High</v>
      </c>
      <c r="P263" s="1" t="str">
        <f t="shared" si="19"/>
        <v>Permanent</v>
      </c>
    </row>
    <row r="264" spans="1:16" x14ac:dyDescent="0.3">
      <c r="A264" s="6">
        <v>45264</v>
      </c>
      <c r="B264" s="11">
        <v>0.74236111111111114</v>
      </c>
      <c r="C264" s="1" t="s">
        <v>59</v>
      </c>
      <c r="D264" s="1" t="s">
        <v>340</v>
      </c>
      <c r="E264" s="1" t="s">
        <v>341</v>
      </c>
      <c r="F264" s="7">
        <v>132</v>
      </c>
      <c r="G264" s="1" t="str">
        <f t="shared" si="18"/>
        <v>Transmission</v>
      </c>
      <c r="H264" s="1" t="s">
        <v>14</v>
      </c>
      <c r="I264" s="1" t="s">
        <v>15</v>
      </c>
      <c r="J264" s="11">
        <v>0.84166666666666667</v>
      </c>
      <c r="K264" s="1">
        <v>2.42</v>
      </c>
      <c r="L264" s="1" t="s">
        <v>310</v>
      </c>
      <c r="M264" s="1" t="s">
        <v>342</v>
      </c>
      <c r="N264" s="1" t="s">
        <v>278</v>
      </c>
      <c r="O264" s="1" t="str">
        <f t="shared" ref="O264:O289" si="20">IF(K264&lt;=0.083,"Low",IF(K264&lt;= 0.5,"Medium",IF(K264&gt;0.5,"High")))</f>
        <v>High</v>
      </c>
      <c r="P264" s="1" t="str">
        <f t="shared" si="19"/>
        <v>Permanent</v>
      </c>
    </row>
    <row r="265" spans="1:16" x14ac:dyDescent="0.3">
      <c r="A265" s="7" t="s">
        <v>343</v>
      </c>
      <c r="B265" s="11">
        <v>0.90069444444444446</v>
      </c>
      <c r="C265" s="1" t="s">
        <v>344</v>
      </c>
      <c r="D265" s="1" t="s">
        <v>311</v>
      </c>
      <c r="E265" s="1" t="s">
        <v>312</v>
      </c>
      <c r="F265" s="7">
        <v>220</v>
      </c>
      <c r="G265" s="1" t="str">
        <f t="shared" si="18"/>
        <v>Transmission</v>
      </c>
      <c r="H265" s="1" t="s">
        <v>313</v>
      </c>
      <c r="I265" s="1" t="s">
        <v>314</v>
      </c>
      <c r="J265" s="11">
        <v>0.97152777777777777</v>
      </c>
      <c r="K265" s="1">
        <v>1.7</v>
      </c>
      <c r="L265" s="1" t="s">
        <v>315</v>
      </c>
      <c r="M265" s="1" t="s">
        <v>295</v>
      </c>
      <c r="N265" s="1" t="s">
        <v>278</v>
      </c>
      <c r="O265" s="1" t="str">
        <f t="shared" si="20"/>
        <v>High</v>
      </c>
      <c r="P265" s="1" t="str">
        <f t="shared" si="19"/>
        <v>Permanent</v>
      </c>
    </row>
    <row r="266" spans="1:16" x14ac:dyDescent="0.3">
      <c r="A266" s="7" t="s">
        <v>343</v>
      </c>
      <c r="B266" s="11">
        <v>0.90069444444444446</v>
      </c>
      <c r="C266" s="1" t="s">
        <v>344</v>
      </c>
      <c r="D266" s="1" t="s">
        <v>316</v>
      </c>
      <c r="E266" s="1" t="s">
        <v>317</v>
      </c>
      <c r="F266" s="7">
        <v>220</v>
      </c>
      <c r="G266" s="1" t="str">
        <f t="shared" si="18"/>
        <v>Transmission</v>
      </c>
      <c r="H266" s="1" t="s">
        <v>313</v>
      </c>
      <c r="I266" s="1" t="s">
        <v>314</v>
      </c>
      <c r="J266" s="11">
        <v>0.97222222222222221</v>
      </c>
      <c r="K266" s="1">
        <v>1.72</v>
      </c>
      <c r="L266" s="1" t="s">
        <v>48</v>
      </c>
      <c r="M266" s="1" t="s">
        <v>295</v>
      </c>
      <c r="N266" s="1" t="s">
        <v>278</v>
      </c>
      <c r="O266" s="1" t="str">
        <f t="shared" si="20"/>
        <v>High</v>
      </c>
      <c r="P266" s="1" t="str">
        <f t="shared" si="19"/>
        <v>Permanent</v>
      </c>
    </row>
    <row r="267" spans="1:16" x14ac:dyDescent="0.3">
      <c r="A267" s="7" t="s">
        <v>345</v>
      </c>
      <c r="B267" s="11">
        <v>0.60486111111111118</v>
      </c>
      <c r="C267" s="1" t="s">
        <v>70</v>
      </c>
      <c r="D267" s="1" t="s">
        <v>286</v>
      </c>
      <c r="E267" s="1" t="s">
        <v>346</v>
      </c>
      <c r="F267" s="7">
        <v>132</v>
      </c>
      <c r="G267" s="1" t="str">
        <f t="shared" si="18"/>
        <v>Transmission</v>
      </c>
      <c r="H267" s="1" t="s">
        <v>347</v>
      </c>
      <c r="I267" s="1" t="s">
        <v>314</v>
      </c>
      <c r="J267" s="11">
        <v>0.65486111111111112</v>
      </c>
      <c r="K267" s="1">
        <v>1.2</v>
      </c>
      <c r="L267" s="1" t="s">
        <v>348</v>
      </c>
      <c r="M267" s="1" t="s">
        <v>349</v>
      </c>
      <c r="N267" s="1" t="s">
        <v>278</v>
      </c>
      <c r="O267" s="1" t="str">
        <f t="shared" si="20"/>
        <v>High</v>
      </c>
      <c r="P267" s="1" t="str">
        <f t="shared" si="19"/>
        <v>Permanent</v>
      </c>
    </row>
    <row r="268" spans="1:16" x14ac:dyDescent="0.3">
      <c r="A268" s="7" t="s">
        <v>345</v>
      </c>
      <c r="B268" s="11">
        <v>0.60486111111111118</v>
      </c>
      <c r="C268" s="1" t="s">
        <v>70</v>
      </c>
      <c r="D268" s="1" t="s">
        <v>286</v>
      </c>
      <c r="E268" s="1" t="s">
        <v>350</v>
      </c>
      <c r="F268" s="7">
        <v>132</v>
      </c>
      <c r="G268" s="1" t="str">
        <f t="shared" si="18"/>
        <v>Transmission</v>
      </c>
      <c r="H268" s="1" t="s">
        <v>347</v>
      </c>
      <c r="I268" s="1" t="s">
        <v>314</v>
      </c>
      <c r="J268" s="11">
        <v>0.65486111111111112</v>
      </c>
      <c r="K268" s="1">
        <v>1.2</v>
      </c>
      <c r="L268" s="1" t="s">
        <v>348</v>
      </c>
      <c r="M268" s="1" t="s">
        <v>349</v>
      </c>
      <c r="N268" s="1" t="s">
        <v>278</v>
      </c>
      <c r="O268" s="1" t="str">
        <f t="shared" si="20"/>
        <v>High</v>
      </c>
      <c r="P268" s="1" t="str">
        <f t="shared" si="19"/>
        <v>Permanent</v>
      </c>
    </row>
    <row r="269" spans="1:16" x14ac:dyDescent="0.3">
      <c r="A269" s="7" t="s">
        <v>351</v>
      </c>
      <c r="B269" s="11">
        <v>0.7944444444444444</v>
      </c>
      <c r="C269" s="1" t="s">
        <v>285</v>
      </c>
      <c r="D269" s="1" t="s">
        <v>46</v>
      </c>
      <c r="E269" s="1" t="s">
        <v>352</v>
      </c>
      <c r="F269" s="7">
        <v>400</v>
      </c>
      <c r="G269" s="1" t="str">
        <f t="shared" si="18"/>
        <v>Transmission</v>
      </c>
      <c r="H269" s="1" t="s">
        <v>21</v>
      </c>
      <c r="I269" s="1" t="s">
        <v>15</v>
      </c>
      <c r="J269" s="11">
        <v>0.79791666666666661</v>
      </c>
      <c r="K269" s="1">
        <v>0.08</v>
      </c>
      <c r="L269" s="1" t="s">
        <v>353</v>
      </c>
      <c r="M269" s="1" t="s">
        <v>295</v>
      </c>
      <c r="N269" s="1" t="s">
        <v>278</v>
      </c>
      <c r="O269" s="1" t="str">
        <f t="shared" si="20"/>
        <v>Low</v>
      </c>
      <c r="P269" s="1" t="str">
        <f t="shared" si="19"/>
        <v>Transient</v>
      </c>
    </row>
    <row r="270" spans="1:16" x14ac:dyDescent="0.3">
      <c r="A270" s="7" t="s">
        <v>351</v>
      </c>
      <c r="B270" s="11">
        <v>0.7944444444444444</v>
      </c>
      <c r="C270" s="1" t="s">
        <v>285</v>
      </c>
      <c r="D270" s="1" t="s">
        <v>354</v>
      </c>
      <c r="E270" s="1" t="s">
        <v>355</v>
      </c>
      <c r="F270" s="7">
        <v>400</v>
      </c>
      <c r="G270" s="1" t="str">
        <f t="shared" si="18"/>
        <v>Transmission</v>
      </c>
      <c r="H270" s="1" t="s">
        <v>21</v>
      </c>
      <c r="I270" s="1" t="s">
        <v>15</v>
      </c>
      <c r="J270" s="11">
        <v>0.80486111111111114</v>
      </c>
      <c r="K270" s="1">
        <v>0.25</v>
      </c>
      <c r="L270" s="1" t="s">
        <v>356</v>
      </c>
      <c r="M270" s="1" t="s">
        <v>295</v>
      </c>
      <c r="N270" s="1" t="s">
        <v>278</v>
      </c>
      <c r="O270" s="1" t="str">
        <f t="shared" si="20"/>
        <v>Medium</v>
      </c>
      <c r="P270" s="1" t="str">
        <f t="shared" si="19"/>
        <v>Sustained</v>
      </c>
    </row>
    <row r="271" spans="1:16" x14ac:dyDescent="0.3">
      <c r="A271" s="6">
        <v>45051</v>
      </c>
      <c r="B271" s="11">
        <v>0.63541666666666663</v>
      </c>
      <c r="C271" s="1" t="s">
        <v>363</v>
      </c>
      <c r="D271" s="1" t="s">
        <v>296</v>
      </c>
      <c r="E271" s="1" t="s">
        <v>364</v>
      </c>
      <c r="F271" s="1">
        <v>132</v>
      </c>
      <c r="G271" s="1" t="str">
        <f t="shared" si="18"/>
        <v>Transmission</v>
      </c>
      <c r="H271" s="1" t="s">
        <v>14</v>
      </c>
      <c r="I271" s="1" t="s">
        <v>15</v>
      </c>
      <c r="J271" s="11">
        <v>0.70486111111111116</v>
      </c>
      <c r="K271" s="1">
        <v>1.67</v>
      </c>
      <c r="L271" s="1" t="s">
        <v>365</v>
      </c>
      <c r="M271" s="1" t="s">
        <v>366</v>
      </c>
      <c r="N271" s="1" t="s">
        <v>367</v>
      </c>
      <c r="O271" s="1" t="str">
        <f t="shared" si="20"/>
        <v>High</v>
      </c>
      <c r="P271" s="1" t="str">
        <f t="shared" si="19"/>
        <v>Permanent</v>
      </c>
    </row>
    <row r="272" spans="1:16" x14ac:dyDescent="0.3">
      <c r="A272" s="6">
        <v>45051</v>
      </c>
      <c r="B272" s="11">
        <v>0.63541666666666663</v>
      </c>
      <c r="C272" s="1" t="s">
        <v>363</v>
      </c>
      <c r="D272" s="1" t="s">
        <v>303</v>
      </c>
      <c r="E272" s="1" t="s">
        <v>377</v>
      </c>
      <c r="F272" s="1">
        <v>132</v>
      </c>
      <c r="G272" s="1" t="str">
        <f t="shared" si="18"/>
        <v>Transmission</v>
      </c>
      <c r="H272" s="1" t="s">
        <v>14</v>
      </c>
      <c r="I272" s="1" t="s">
        <v>15</v>
      </c>
      <c r="J272" s="11">
        <v>0.81458333333333333</v>
      </c>
      <c r="K272" s="1">
        <v>4.3</v>
      </c>
      <c r="L272" s="1" t="s">
        <v>17</v>
      </c>
      <c r="M272" s="1" t="s">
        <v>378</v>
      </c>
      <c r="N272" s="1" t="s">
        <v>367</v>
      </c>
      <c r="O272" s="1" t="str">
        <f t="shared" si="20"/>
        <v>High</v>
      </c>
      <c r="P272" s="1" t="str">
        <f t="shared" si="19"/>
        <v>Permanent</v>
      </c>
    </row>
    <row r="273" spans="1:16" x14ac:dyDescent="0.3">
      <c r="A273" s="6">
        <v>45082</v>
      </c>
      <c r="B273" s="11">
        <v>0.1763888888888889</v>
      </c>
      <c r="C273" s="1" t="s">
        <v>380</v>
      </c>
      <c r="D273" s="1" t="s">
        <v>126</v>
      </c>
      <c r="E273" s="1" t="s">
        <v>381</v>
      </c>
      <c r="F273" s="1">
        <v>132</v>
      </c>
      <c r="G273" s="1" t="str">
        <f t="shared" si="18"/>
        <v>Transmission</v>
      </c>
      <c r="H273" s="1" t="s">
        <v>14</v>
      </c>
      <c r="I273" s="1" t="s">
        <v>15</v>
      </c>
      <c r="J273" s="11">
        <v>0.19791666666666666</v>
      </c>
      <c r="K273" s="1">
        <v>0.52</v>
      </c>
      <c r="L273" s="1" t="s">
        <v>17</v>
      </c>
      <c r="M273" s="1" t="s">
        <v>382</v>
      </c>
      <c r="N273" s="1" t="s">
        <v>367</v>
      </c>
      <c r="O273" s="1" t="str">
        <f t="shared" si="20"/>
        <v>High</v>
      </c>
      <c r="P273" s="1" t="str">
        <f t="shared" si="19"/>
        <v>Permanent</v>
      </c>
    </row>
    <row r="274" spans="1:16" x14ac:dyDescent="0.3">
      <c r="A274" s="6">
        <v>45143</v>
      </c>
      <c r="B274" s="11">
        <v>9.0277777777777787E-3</v>
      </c>
      <c r="C274" s="1" t="s">
        <v>383</v>
      </c>
      <c r="D274" s="1" t="s">
        <v>46</v>
      </c>
      <c r="E274" s="1" t="s">
        <v>384</v>
      </c>
      <c r="F274" s="1">
        <v>400</v>
      </c>
      <c r="G274" s="1" t="str">
        <f t="shared" si="18"/>
        <v>Transmission</v>
      </c>
      <c r="H274" s="1" t="s">
        <v>385</v>
      </c>
      <c r="I274" s="1" t="s">
        <v>15</v>
      </c>
      <c r="J274" s="11">
        <v>3.6805555555555557E-2</v>
      </c>
      <c r="K274" s="1">
        <v>0.67</v>
      </c>
      <c r="L274" s="1" t="s">
        <v>386</v>
      </c>
      <c r="M274" s="1" t="s">
        <v>387</v>
      </c>
      <c r="N274" s="1" t="s">
        <v>367</v>
      </c>
      <c r="O274" s="1" t="str">
        <f t="shared" si="20"/>
        <v>High</v>
      </c>
      <c r="P274" s="1" t="str">
        <f t="shared" si="19"/>
        <v>Permanent</v>
      </c>
    </row>
    <row r="275" spans="1:16" x14ac:dyDescent="0.3">
      <c r="A275" s="6">
        <v>45143</v>
      </c>
      <c r="B275" s="11">
        <v>9.0277777777777787E-3</v>
      </c>
      <c r="C275" s="1" t="s">
        <v>383</v>
      </c>
      <c r="D275" s="1" t="s">
        <v>388</v>
      </c>
      <c r="E275" s="1" t="s">
        <v>389</v>
      </c>
      <c r="F275" s="1">
        <v>400</v>
      </c>
      <c r="G275" s="1" t="str">
        <f t="shared" si="18"/>
        <v>Transmission</v>
      </c>
      <c r="H275" s="1" t="s">
        <v>385</v>
      </c>
      <c r="I275" s="1" t="s">
        <v>15</v>
      </c>
      <c r="J275" s="11">
        <v>1.3888888888888888E-2</v>
      </c>
      <c r="K275" s="1">
        <v>0.12</v>
      </c>
      <c r="L275" s="1" t="s">
        <v>356</v>
      </c>
      <c r="M275" s="1" t="s">
        <v>390</v>
      </c>
      <c r="N275" s="1" t="s">
        <v>367</v>
      </c>
      <c r="O275" s="1" t="str">
        <f t="shared" si="20"/>
        <v>Medium</v>
      </c>
      <c r="P275" s="1" t="str">
        <f t="shared" si="19"/>
        <v>Sustained</v>
      </c>
    </row>
    <row r="276" spans="1:16" x14ac:dyDescent="0.3">
      <c r="A276" s="6">
        <v>45143</v>
      </c>
      <c r="B276" s="11">
        <v>1.1111111111111112E-2</v>
      </c>
      <c r="C276" s="1" t="s">
        <v>383</v>
      </c>
      <c r="D276" s="1" t="s">
        <v>391</v>
      </c>
      <c r="E276" s="1" t="s">
        <v>392</v>
      </c>
      <c r="F276" s="1">
        <v>132</v>
      </c>
      <c r="G276" s="1" t="str">
        <f t="shared" si="18"/>
        <v>Transmission</v>
      </c>
      <c r="H276" s="1" t="s">
        <v>385</v>
      </c>
      <c r="I276" s="1" t="s">
        <v>15</v>
      </c>
      <c r="J276" s="11">
        <v>0.22361111111111109</v>
      </c>
      <c r="K276" s="1">
        <v>5.0999999999999996</v>
      </c>
      <c r="L276" s="1" t="s">
        <v>17</v>
      </c>
      <c r="M276" s="1" t="s">
        <v>393</v>
      </c>
      <c r="N276" s="1" t="s">
        <v>367</v>
      </c>
      <c r="O276" s="1" t="str">
        <f t="shared" si="20"/>
        <v>High</v>
      </c>
      <c r="P276" s="1" t="str">
        <f t="shared" si="19"/>
        <v>Permanent</v>
      </c>
    </row>
    <row r="277" spans="1:16" x14ac:dyDescent="0.3">
      <c r="A277" s="6">
        <v>45143</v>
      </c>
      <c r="B277" s="11">
        <v>1.4583333333333332E-2</v>
      </c>
      <c r="C277" s="1" t="s">
        <v>383</v>
      </c>
      <c r="D277" s="1" t="s">
        <v>296</v>
      </c>
      <c r="E277" s="1" t="s">
        <v>396</v>
      </c>
      <c r="F277" s="1">
        <v>132</v>
      </c>
      <c r="G277" s="1" t="str">
        <f t="shared" si="18"/>
        <v>Transmission</v>
      </c>
      <c r="H277" s="1" t="s">
        <v>385</v>
      </c>
      <c r="I277" s="1" t="s">
        <v>15</v>
      </c>
      <c r="J277" s="11">
        <v>0.20277777777777781</v>
      </c>
      <c r="K277" s="1">
        <v>4.5199999999999996</v>
      </c>
      <c r="L277" s="1" t="s">
        <v>397</v>
      </c>
      <c r="M277" s="1" t="s">
        <v>398</v>
      </c>
      <c r="N277" s="1" t="s">
        <v>367</v>
      </c>
      <c r="O277" s="1" t="str">
        <f t="shared" si="20"/>
        <v>High</v>
      </c>
      <c r="P277" s="1" t="str">
        <f t="shared" si="19"/>
        <v>Permanent</v>
      </c>
    </row>
    <row r="278" spans="1:16" x14ac:dyDescent="0.3">
      <c r="A278" s="7" t="s">
        <v>405</v>
      </c>
      <c r="B278" s="11">
        <v>0.86041666666666661</v>
      </c>
      <c r="C278" s="1" t="s">
        <v>406</v>
      </c>
      <c r="D278" s="1" t="s">
        <v>52</v>
      </c>
      <c r="E278" s="1" t="s">
        <v>404</v>
      </c>
      <c r="F278" s="1">
        <v>132</v>
      </c>
      <c r="G278" s="1" t="str">
        <f t="shared" si="18"/>
        <v>Transmission</v>
      </c>
      <c r="H278" s="1" t="s">
        <v>47</v>
      </c>
      <c r="I278" s="1" t="s">
        <v>15</v>
      </c>
      <c r="J278" s="11">
        <v>0.97916666666666663</v>
      </c>
      <c r="K278" s="1">
        <v>2.85</v>
      </c>
      <c r="L278" s="1" t="s">
        <v>17</v>
      </c>
      <c r="M278" s="1" t="s">
        <v>407</v>
      </c>
      <c r="N278" s="1" t="s">
        <v>367</v>
      </c>
      <c r="O278" s="1" t="str">
        <f t="shared" si="20"/>
        <v>High</v>
      </c>
      <c r="P278" s="1" t="str">
        <f t="shared" si="19"/>
        <v>Permanent</v>
      </c>
    </row>
    <row r="279" spans="1:16" x14ac:dyDescent="0.3">
      <c r="A279" s="7" t="s">
        <v>408</v>
      </c>
      <c r="B279" s="11">
        <v>0.9243055555555556</v>
      </c>
      <c r="C279" s="1" t="s">
        <v>409</v>
      </c>
      <c r="D279" s="1" t="s">
        <v>46</v>
      </c>
      <c r="E279" s="1" t="s">
        <v>352</v>
      </c>
      <c r="F279" s="1">
        <v>400</v>
      </c>
      <c r="G279" s="1" t="str">
        <f t="shared" si="18"/>
        <v>Transmission</v>
      </c>
      <c r="H279" s="1" t="s">
        <v>21</v>
      </c>
      <c r="I279" s="1" t="s">
        <v>15</v>
      </c>
      <c r="J279" s="11">
        <v>0.96527777777777779</v>
      </c>
      <c r="K279" s="1">
        <v>0.98</v>
      </c>
      <c r="L279" s="1" t="s">
        <v>17</v>
      </c>
      <c r="M279" s="1" t="s">
        <v>410</v>
      </c>
      <c r="N279" s="1" t="s">
        <v>367</v>
      </c>
      <c r="O279" s="1" t="str">
        <f t="shared" si="20"/>
        <v>High</v>
      </c>
      <c r="P279" s="1" t="str">
        <f t="shared" si="19"/>
        <v>Permanent</v>
      </c>
    </row>
    <row r="280" spans="1:16" x14ac:dyDescent="0.3">
      <c r="A280" s="2">
        <v>44963</v>
      </c>
      <c r="B280" s="11">
        <v>0.45</v>
      </c>
      <c r="C280" s="1" t="s">
        <v>419</v>
      </c>
      <c r="D280" s="1" t="s">
        <v>413</v>
      </c>
      <c r="E280" s="1" t="s">
        <v>427</v>
      </c>
      <c r="F280" s="7">
        <v>132</v>
      </c>
      <c r="G280" s="1" t="str">
        <f t="shared" si="18"/>
        <v>Transmission</v>
      </c>
      <c r="H280" s="1" t="s">
        <v>14</v>
      </c>
      <c r="I280" s="1" t="s">
        <v>15</v>
      </c>
      <c r="J280" s="11">
        <v>0.47569444444444442</v>
      </c>
      <c r="K280" s="1">
        <v>0.62</v>
      </c>
      <c r="L280" s="1" t="s">
        <v>422</v>
      </c>
      <c r="M280" s="1" t="s">
        <v>428</v>
      </c>
      <c r="N280" s="1" t="s">
        <v>424</v>
      </c>
      <c r="O280" s="1" t="str">
        <f t="shared" si="20"/>
        <v>High</v>
      </c>
      <c r="P280" s="1" t="str">
        <f t="shared" si="19"/>
        <v>Permanent</v>
      </c>
    </row>
    <row r="281" spans="1:16" x14ac:dyDescent="0.3">
      <c r="A281" s="2">
        <v>45175</v>
      </c>
      <c r="B281" s="11">
        <v>0.16805555555555554</v>
      </c>
      <c r="C281" s="1" t="s">
        <v>435</v>
      </c>
      <c r="D281" s="1" t="s">
        <v>52</v>
      </c>
      <c r="E281" s="1" t="s">
        <v>436</v>
      </c>
      <c r="F281" s="7">
        <v>220</v>
      </c>
      <c r="G281" s="1" t="str">
        <f t="shared" si="18"/>
        <v>Transmission</v>
      </c>
      <c r="H281" s="1" t="s">
        <v>437</v>
      </c>
      <c r="I281" s="1" t="s">
        <v>15</v>
      </c>
      <c r="J281" s="11">
        <v>0.24861111111111112</v>
      </c>
      <c r="K281" s="1">
        <v>1.93</v>
      </c>
      <c r="L281" s="1" t="s">
        <v>438</v>
      </c>
      <c r="M281" s="1" t="s">
        <v>439</v>
      </c>
      <c r="N281" s="1" t="s">
        <v>424</v>
      </c>
      <c r="O281" s="1" t="str">
        <f t="shared" si="20"/>
        <v>High</v>
      </c>
      <c r="P281" s="1" t="str">
        <f t="shared" si="19"/>
        <v>Permanent</v>
      </c>
    </row>
    <row r="282" spans="1:16" x14ac:dyDescent="0.3">
      <c r="A282" s="2">
        <v>45175</v>
      </c>
      <c r="B282" s="11">
        <v>0.16805555555555554</v>
      </c>
      <c r="C282" s="1" t="s">
        <v>435</v>
      </c>
      <c r="D282" s="1" t="s">
        <v>316</v>
      </c>
      <c r="E282" s="1" t="s">
        <v>440</v>
      </c>
      <c r="F282" s="7">
        <v>220</v>
      </c>
      <c r="G282" s="1" t="str">
        <f t="shared" si="18"/>
        <v>Transmission</v>
      </c>
      <c r="H282" s="1" t="s">
        <v>437</v>
      </c>
      <c r="I282" s="1" t="s">
        <v>15</v>
      </c>
      <c r="J282" s="11">
        <v>0.25069444444444444</v>
      </c>
      <c r="K282" s="1">
        <v>1.98</v>
      </c>
      <c r="L282" s="1" t="s">
        <v>441</v>
      </c>
      <c r="M282" s="1" t="s">
        <v>442</v>
      </c>
      <c r="N282" s="1" t="s">
        <v>424</v>
      </c>
      <c r="O282" s="1" t="str">
        <f t="shared" si="20"/>
        <v>High</v>
      </c>
      <c r="P282" s="1" t="str">
        <f t="shared" si="19"/>
        <v>Permanent</v>
      </c>
    </row>
    <row r="283" spans="1:16" x14ac:dyDescent="0.3">
      <c r="A283" s="2">
        <v>45175</v>
      </c>
      <c r="B283" s="11">
        <v>0.16805555555555554</v>
      </c>
      <c r="C283" s="1" t="s">
        <v>435</v>
      </c>
      <c r="D283" s="1" t="s">
        <v>46</v>
      </c>
      <c r="E283" s="1" t="s">
        <v>443</v>
      </c>
      <c r="F283" s="7">
        <v>220</v>
      </c>
      <c r="G283" s="1" t="str">
        <f t="shared" si="18"/>
        <v>Transmission</v>
      </c>
      <c r="H283" s="1" t="s">
        <v>437</v>
      </c>
      <c r="I283" s="1" t="s">
        <v>15</v>
      </c>
      <c r="J283" s="11">
        <v>0.20347222222222219</v>
      </c>
      <c r="K283" s="1">
        <v>0.85</v>
      </c>
      <c r="L283" s="1" t="s">
        <v>386</v>
      </c>
      <c r="M283" s="1" t="s">
        <v>444</v>
      </c>
      <c r="N283" s="1" t="s">
        <v>424</v>
      </c>
      <c r="O283" s="1" t="str">
        <f t="shared" si="20"/>
        <v>High</v>
      </c>
      <c r="P283" s="1" t="str">
        <f t="shared" si="19"/>
        <v>Permanent</v>
      </c>
    </row>
    <row r="284" spans="1:16" x14ac:dyDescent="0.3">
      <c r="A284" s="2">
        <v>45175</v>
      </c>
      <c r="B284" s="11">
        <v>0.16805555555555554</v>
      </c>
      <c r="C284" s="1" t="s">
        <v>435</v>
      </c>
      <c r="D284" s="1" t="s">
        <v>30</v>
      </c>
      <c r="E284" s="1" t="s">
        <v>445</v>
      </c>
      <c r="F284" s="7">
        <v>220</v>
      </c>
      <c r="G284" s="1" t="str">
        <f t="shared" si="18"/>
        <v>Transmission</v>
      </c>
      <c r="H284" s="1" t="s">
        <v>437</v>
      </c>
      <c r="I284" s="1" t="s">
        <v>15</v>
      </c>
      <c r="J284" s="11">
        <v>0.17777777777777778</v>
      </c>
      <c r="K284" s="1">
        <v>0.23</v>
      </c>
      <c r="L284" s="1" t="s">
        <v>353</v>
      </c>
      <c r="M284" s="1" t="s">
        <v>446</v>
      </c>
      <c r="N284" s="1" t="s">
        <v>424</v>
      </c>
      <c r="O284" s="1" t="str">
        <f t="shared" si="20"/>
        <v>Medium</v>
      </c>
      <c r="P284" s="1" t="str">
        <f t="shared" si="19"/>
        <v>Sustained</v>
      </c>
    </row>
    <row r="285" spans="1:16" x14ac:dyDescent="0.3">
      <c r="A285" s="7" t="s">
        <v>454</v>
      </c>
      <c r="B285" s="11">
        <v>0.17500000000000002</v>
      </c>
      <c r="C285" s="1" t="s">
        <v>455</v>
      </c>
      <c r="D285" s="1" t="s">
        <v>296</v>
      </c>
      <c r="E285" s="1" t="s">
        <v>456</v>
      </c>
      <c r="F285" s="7">
        <v>132</v>
      </c>
      <c r="G285" s="1" t="str">
        <f t="shared" si="18"/>
        <v>Transmission</v>
      </c>
      <c r="H285" s="1" t="s">
        <v>14</v>
      </c>
      <c r="I285" s="1" t="s">
        <v>15</v>
      </c>
      <c r="J285" s="11">
        <v>0.19583333333333333</v>
      </c>
      <c r="K285" s="1">
        <v>0.5</v>
      </c>
      <c r="L285" s="1" t="s">
        <v>17</v>
      </c>
      <c r="M285" s="1" t="s">
        <v>382</v>
      </c>
      <c r="N285" s="1" t="s">
        <v>424</v>
      </c>
      <c r="O285" s="1" t="str">
        <f t="shared" si="20"/>
        <v>Medium</v>
      </c>
      <c r="P285" s="1" t="str">
        <f t="shared" si="19"/>
        <v>Sustained</v>
      </c>
    </row>
    <row r="286" spans="1:16" x14ac:dyDescent="0.3">
      <c r="A286" s="7" t="s">
        <v>457</v>
      </c>
      <c r="B286" s="11">
        <v>0.46319444444444446</v>
      </c>
      <c r="C286" s="1" t="s">
        <v>458</v>
      </c>
      <c r="D286" s="1" t="s">
        <v>283</v>
      </c>
      <c r="E286" s="1" t="s">
        <v>459</v>
      </c>
      <c r="F286" s="7">
        <v>220</v>
      </c>
      <c r="G286" s="1" t="str">
        <f t="shared" si="18"/>
        <v>Transmission</v>
      </c>
      <c r="H286" s="1" t="s">
        <v>14</v>
      </c>
      <c r="I286" s="1" t="s">
        <v>460</v>
      </c>
      <c r="J286" s="11">
        <v>0.46458333333333335</v>
      </c>
      <c r="K286" s="1">
        <v>0.03</v>
      </c>
      <c r="L286" s="1" t="s">
        <v>461</v>
      </c>
      <c r="M286" s="1" t="s">
        <v>462</v>
      </c>
      <c r="N286" s="1" t="s">
        <v>424</v>
      </c>
      <c r="O286" s="1" t="str">
        <f t="shared" si="20"/>
        <v>Low</v>
      </c>
      <c r="P286" s="1" t="str">
        <f t="shared" si="19"/>
        <v>Transient</v>
      </c>
    </row>
    <row r="287" spans="1:16" x14ac:dyDescent="0.3">
      <c r="A287" s="7" t="s">
        <v>465</v>
      </c>
      <c r="B287" s="11">
        <v>0.10277777777777779</v>
      </c>
      <c r="C287" s="1" t="s">
        <v>466</v>
      </c>
      <c r="D287" s="1" t="s">
        <v>467</v>
      </c>
      <c r="E287" s="1" t="s">
        <v>468</v>
      </c>
      <c r="F287" s="7">
        <v>132</v>
      </c>
      <c r="G287" s="1" t="str">
        <f t="shared" si="18"/>
        <v>Transmission</v>
      </c>
      <c r="H287" s="1" t="s">
        <v>87</v>
      </c>
      <c r="I287" s="1" t="s">
        <v>15</v>
      </c>
      <c r="J287" s="11">
        <v>0.17152777777777775</v>
      </c>
      <c r="K287" s="1">
        <v>1.65</v>
      </c>
      <c r="L287" s="1" t="s">
        <v>469</v>
      </c>
      <c r="M287" s="1" t="s">
        <v>470</v>
      </c>
      <c r="N287" s="1" t="s">
        <v>424</v>
      </c>
      <c r="O287" s="1" t="str">
        <f t="shared" si="20"/>
        <v>High</v>
      </c>
      <c r="P287" s="1" t="str">
        <f t="shared" si="19"/>
        <v>Permanent</v>
      </c>
    </row>
    <row r="288" spans="1:16" x14ac:dyDescent="0.3">
      <c r="A288" s="7" t="s">
        <v>465</v>
      </c>
      <c r="B288" s="11">
        <v>0.10277777777777779</v>
      </c>
      <c r="C288" s="1" t="s">
        <v>466</v>
      </c>
      <c r="D288" s="1" t="s">
        <v>90</v>
      </c>
      <c r="E288" s="1" t="s">
        <v>471</v>
      </c>
      <c r="F288" s="7">
        <v>132</v>
      </c>
      <c r="G288" s="1" t="str">
        <f t="shared" si="18"/>
        <v>Transmission</v>
      </c>
      <c r="H288" s="1" t="s">
        <v>87</v>
      </c>
      <c r="I288" s="1" t="s">
        <v>15</v>
      </c>
      <c r="J288" s="11">
        <v>0.17152777777777775</v>
      </c>
      <c r="K288" s="1">
        <v>1.65</v>
      </c>
      <c r="L288" s="1" t="s">
        <v>469</v>
      </c>
      <c r="M288" s="1" t="s">
        <v>472</v>
      </c>
      <c r="N288" s="1" t="s">
        <v>424</v>
      </c>
      <c r="O288" s="1" t="str">
        <f t="shared" si="20"/>
        <v>High</v>
      </c>
      <c r="P288" s="1" t="str">
        <f t="shared" si="19"/>
        <v>Permanent</v>
      </c>
    </row>
    <row r="289" spans="1:16" x14ac:dyDescent="0.3">
      <c r="A289" s="7" t="s">
        <v>475</v>
      </c>
      <c r="B289" s="12" t="s">
        <v>476</v>
      </c>
      <c r="C289" s="1" t="s">
        <v>477</v>
      </c>
      <c r="D289" s="1" t="s">
        <v>478</v>
      </c>
      <c r="E289" s="1" t="s">
        <v>479</v>
      </c>
      <c r="F289" s="1">
        <v>132</v>
      </c>
      <c r="G289" s="1" t="str">
        <f t="shared" si="18"/>
        <v>Transmission</v>
      </c>
      <c r="H289" s="1" t="s">
        <v>87</v>
      </c>
      <c r="I289" s="1" t="s">
        <v>15</v>
      </c>
      <c r="J289" s="7" t="s">
        <v>480</v>
      </c>
      <c r="K289" s="1">
        <v>6.77</v>
      </c>
      <c r="L289" s="1" t="s">
        <v>481</v>
      </c>
      <c r="M289" s="1" t="s">
        <v>482</v>
      </c>
      <c r="N289" s="1" t="s">
        <v>483</v>
      </c>
      <c r="O289" s="1" t="str">
        <f t="shared" si="20"/>
        <v>High</v>
      </c>
      <c r="P289" s="1" t="str">
        <f t="shared" si="19"/>
        <v>Permanent</v>
      </c>
    </row>
    <row r="290" spans="1:16" x14ac:dyDescent="0.3">
      <c r="A290" s="7" t="s">
        <v>475</v>
      </c>
      <c r="B290" s="12" t="s">
        <v>476</v>
      </c>
      <c r="C290" s="1" t="s">
        <v>477</v>
      </c>
      <c r="D290" s="1" t="s">
        <v>484</v>
      </c>
      <c r="E290" s="1" t="s">
        <v>485</v>
      </c>
      <c r="F290" s="1">
        <v>132</v>
      </c>
      <c r="G290" s="1" t="str">
        <f t="shared" si="18"/>
        <v>Transmission</v>
      </c>
      <c r="H290" s="1" t="s">
        <v>14</v>
      </c>
      <c r="I290" s="1" t="s">
        <v>15</v>
      </c>
      <c r="J290" s="7" t="s">
        <v>486</v>
      </c>
      <c r="K290" s="1">
        <v>5.6</v>
      </c>
      <c r="L290" s="1" t="s">
        <v>487</v>
      </c>
      <c r="M290" s="1" t="s">
        <v>488</v>
      </c>
      <c r="N290" s="1" t="s">
        <v>483</v>
      </c>
      <c r="O290" s="1" t="str">
        <f t="shared" ref="O290:O310" si="21">IF(K290&lt;=0.083,"Low",IF(K290&lt;= 0.5,"Medium",IF(K290&gt;0.5,"High")))</f>
        <v>High</v>
      </c>
      <c r="P290" s="1" t="str">
        <f t="shared" si="19"/>
        <v>Permanent</v>
      </c>
    </row>
    <row r="291" spans="1:16" x14ac:dyDescent="0.3">
      <c r="A291" s="7" t="s">
        <v>489</v>
      </c>
      <c r="B291" s="12" t="s">
        <v>490</v>
      </c>
      <c r="C291" s="1" t="s">
        <v>491</v>
      </c>
      <c r="D291" s="1" t="s">
        <v>291</v>
      </c>
      <c r="E291" s="1" t="s">
        <v>492</v>
      </c>
      <c r="F291" s="1">
        <v>132</v>
      </c>
      <c r="G291" s="1" t="str">
        <f t="shared" si="18"/>
        <v>Transmission</v>
      </c>
      <c r="H291" s="1" t="s">
        <v>87</v>
      </c>
      <c r="I291" s="1" t="s">
        <v>15</v>
      </c>
      <c r="J291" s="7" t="s">
        <v>493</v>
      </c>
      <c r="K291" s="1">
        <v>4.45</v>
      </c>
      <c r="L291" s="1" t="s">
        <v>494</v>
      </c>
      <c r="M291" s="1" t="s">
        <v>495</v>
      </c>
      <c r="N291" s="1" t="s">
        <v>483</v>
      </c>
      <c r="O291" s="1" t="str">
        <f t="shared" si="21"/>
        <v>High</v>
      </c>
      <c r="P291" s="1" t="str">
        <f t="shared" si="19"/>
        <v>Permanent</v>
      </c>
    </row>
    <row r="292" spans="1:16" x14ac:dyDescent="0.3">
      <c r="A292" s="7" t="s">
        <v>498</v>
      </c>
      <c r="B292" s="12" t="s">
        <v>499</v>
      </c>
      <c r="C292" s="1" t="s">
        <v>448</v>
      </c>
      <c r="D292" s="1" t="s">
        <v>500</v>
      </c>
      <c r="E292" s="1" t="s">
        <v>501</v>
      </c>
      <c r="F292" s="1">
        <v>132</v>
      </c>
      <c r="G292" s="1" t="str">
        <f t="shared" si="18"/>
        <v>Transmission</v>
      </c>
      <c r="H292" s="1" t="s">
        <v>14</v>
      </c>
      <c r="I292" s="1" t="s">
        <v>15</v>
      </c>
      <c r="J292" s="7" t="s">
        <v>502</v>
      </c>
      <c r="K292" s="1">
        <v>0.32</v>
      </c>
      <c r="L292" s="1" t="s">
        <v>17</v>
      </c>
      <c r="M292" s="1" t="s">
        <v>503</v>
      </c>
      <c r="N292" s="1" t="s">
        <v>483</v>
      </c>
      <c r="O292" s="1" t="str">
        <f t="shared" si="21"/>
        <v>Medium</v>
      </c>
      <c r="P292" s="1" t="str">
        <f t="shared" si="19"/>
        <v>Sustained</v>
      </c>
    </row>
    <row r="293" spans="1:16" x14ac:dyDescent="0.3">
      <c r="A293" s="7" t="s">
        <v>517</v>
      </c>
      <c r="B293" s="12" t="s">
        <v>518</v>
      </c>
      <c r="C293" s="1" t="s">
        <v>519</v>
      </c>
      <c r="D293" s="1" t="s">
        <v>316</v>
      </c>
      <c r="E293" s="1" t="s">
        <v>520</v>
      </c>
      <c r="F293" s="7">
        <v>220</v>
      </c>
      <c r="G293" s="1" t="str">
        <f t="shared" ref="G293:G333" si="22">IF(F293&gt;=132,"Transmission",IF(F293&gt;=66,"Sub-Transmission","Distribution"))</f>
        <v>Transmission</v>
      </c>
      <c r="H293" s="1" t="s">
        <v>21</v>
      </c>
      <c r="I293" s="1" t="s">
        <v>15</v>
      </c>
      <c r="J293" s="7" t="s">
        <v>521</v>
      </c>
      <c r="K293" s="1">
        <v>0.03</v>
      </c>
      <c r="L293" s="1" t="s">
        <v>48</v>
      </c>
      <c r="M293" s="1" t="s">
        <v>522</v>
      </c>
      <c r="N293" s="1" t="s">
        <v>515</v>
      </c>
      <c r="O293" s="1" t="str">
        <f t="shared" si="21"/>
        <v>Low</v>
      </c>
      <c r="P293" s="1" t="str">
        <f t="shared" ref="P293:P333" si="23">IF(O293="Low","Transient",IF(O293="Medium","Sustained",IF(O293="High","Permanent")))</f>
        <v>Transient</v>
      </c>
    </row>
    <row r="294" spans="1:16" x14ac:dyDescent="0.3">
      <c r="A294" s="7" t="s">
        <v>525</v>
      </c>
      <c r="B294" s="12" t="s">
        <v>526</v>
      </c>
      <c r="C294" s="1" t="s">
        <v>466</v>
      </c>
      <c r="D294" s="1" t="s">
        <v>523</v>
      </c>
      <c r="E294" s="1" t="s">
        <v>524</v>
      </c>
      <c r="F294" s="7">
        <v>220</v>
      </c>
      <c r="G294" s="1" t="str">
        <f t="shared" si="22"/>
        <v>Transmission</v>
      </c>
      <c r="H294" s="1" t="s">
        <v>21</v>
      </c>
      <c r="I294" s="1" t="s">
        <v>15</v>
      </c>
      <c r="J294" s="7" t="s">
        <v>527</v>
      </c>
      <c r="K294" s="1">
        <v>0.3</v>
      </c>
      <c r="L294" s="1" t="s">
        <v>17</v>
      </c>
      <c r="M294" s="1" t="s">
        <v>528</v>
      </c>
      <c r="N294" s="1" t="s">
        <v>515</v>
      </c>
      <c r="O294" s="1" t="str">
        <f t="shared" si="21"/>
        <v>Medium</v>
      </c>
      <c r="P294" s="1" t="str">
        <f t="shared" si="23"/>
        <v>Sustained</v>
      </c>
    </row>
    <row r="295" spans="1:16" x14ac:dyDescent="0.3">
      <c r="A295" s="7" t="s">
        <v>525</v>
      </c>
      <c r="B295" s="12" t="s">
        <v>529</v>
      </c>
      <c r="C295" s="1" t="s">
        <v>477</v>
      </c>
      <c r="D295" s="1" t="s">
        <v>316</v>
      </c>
      <c r="E295" s="1" t="s">
        <v>530</v>
      </c>
      <c r="F295" s="7">
        <v>220</v>
      </c>
      <c r="G295" s="1" t="str">
        <f t="shared" si="22"/>
        <v>Transmission</v>
      </c>
      <c r="H295" s="1" t="s">
        <v>21</v>
      </c>
      <c r="I295" s="1" t="s">
        <v>15</v>
      </c>
      <c r="J295" s="7" t="s">
        <v>531</v>
      </c>
      <c r="K295" s="1">
        <v>4.5199999999999996</v>
      </c>
      <c r="L295" s="1" t="s">
        <v>17</v>
      </c>
      <c r="M295" s="1" t="s">
        <v>532</v>
      </c>
      <c r="N295" s="1" t="s">
        <v>515</v>
      </c>
      <c r="O295" s="1" t="str">
        <f t="shared" si="21"/>
        <v>High</v>
      </c>
      <c r="P295" s="1" t="str">
        <f t="shared" si="23"/>
        <v>Permanent</v>
      </c>
    </row>
    <row r="296" spans="1:16" x14ac:dyDescent="0.3">
      <c r="A296" s="7" t="s">
        <v>525</v>
      </c>
      <c r="B296" s="12" t="s">
        <v>529</v>
      </c>
      <c r="C296" s="1" t="s">
        <v>477</v>
      </c>
      <c r="D296" s="1" t="s">
        <v>523</v>
      </c>
      <c r="E296" s="1" t="s">
        <v>533</v>
      </c>
      <c r="F296" s="7">
        <v>220</v>
      </c>
      <c r="G296" s="1" t="str">
        <f t="shared" si="22"/>
        <v>Transmission</v>
      </c>
      <c r="H296" s="1" t="s">
        <v>21</v>
      </c>
      <c r="I296" s="1" t="s">
        <v>15</v>
      </c>
      <c r="J296" s="7" t="s">
        <v>534</v>
      </c>
      <c r="K296" s="1">
        <v>4.4800000000000004</v>
      </c>
      <c r="L296" s="1" t="s">
        <v>109</v>
      </c>
      <c r="M296" s="1" t="s">
        <v>535</v>
      </c>
      <c r="N296" s="1" t="s">
        <v>515</v>
      </c>
      <c r="O296" s="1" t="str">
        <f t="shared" si="21"/>
        <v>High</v>
      </c>
      <c r="P296" s="1" t="str">
        <f t="shared" si="23"/>
        <v>Permanent</v>
      </c>
    </row>
    <row r="297" spans="1:16" x14ac:dyDescent="0.3">
      <c r="A297" s="7" t="s">
        <v>536</v>
      </c>
      <c r="B297" s="12" t="s">
        <v>537</v>
      </c>
      <c r="C297" s="1" t="s">
        <v>491</v>
      </c>
      <c r="D297" s="1" t="s">
        <v>316</v>
      </c>
      <c r="E297" s="1" t="s">
        <v>530</v>
      </c>
      <c r="F297" s="7">
        <v>220</v>
      </c>
      <c r="G297" s="1" t="str">
        <f t="shared" si="22"/>
        <v>Transmission</v>
      </c>
      <c r="H297" s="1" t="s">
        <v>21</v>
      </c>
      <c r="I297" s="1" t="s">
        <v>15</v>
      </c>
      <c r="J297" s="7" t="s">
        <v>538</v>
      </c>
      <c r="K297" s="1">
        <v>0.18</v>
      </c>
      <c r="L297" s="1" t="s">
        <v>17</v>
      </c>
      <c r="M297" s="1" t="s">
        <v>539</v>
      </c>
      <c r="N297" s="1" t="s">
        <v>515</v>
      </c>
      <c r="O297" s="1" t="str">
        <f t="shared" si="21"/>
        <v>Medium</v>
      </c>
      <c r="P297" s="1" t="str">
        <f t="shared" si="23"/>
        <v>Sustained</v>
      </c>
    </row>
    <row r="298" spans="1:16" x14ac:dyDescent="0.3">
      <c r="A298" s="7" t="s">
        <v>536</v>
      </c>
      <c r="B298" s="12" t="s">
        <v>537</v>
      </c>
      <c r="C298" s="1" t="s">
        <v>491</v>
      </c>
      <c r="D298" s="1" t="s">
        <v>523</v>
      </c>
      <c r="E298" s="1" t="s">
        <v>533</v>
      </c>
      <c r="F298" s="7">
        <v>220</v>
      </c>
      <c r="G298" s="1" t="str">
        <f t="shared" si="22"/>
        <v>Transmission</v>
      </c>
      <c r="H298" s="1" t="s">
        <v>21</v>
      </c>
      <c r="I298" s="1" t="s">
        <v>15</v>
      </c>
      <c r="J298" s="7" t="s">
        <v>538</v>
      </c>
      <c r="K298" s="1">
        <v>0.18</v>
      </c>
      <c r="L298" s="1" t="s">
        <v>17</v>
      </c>
      <c r="M298" s="1" t="s">
        <v>540</v>
      </c>
      <c r="N298" s="1" t="s">
        <v>515</v>
      </c>
      <c r="O298" s="1" t="str">
        <f t="shared" si="21"/>
        <v>Medium</v>
      </c>
      <c r="P298" s="1" t="str">
        <f t="shared" si="23"/>
        <v>Sustained</v>
      </c>
    </row>
    <row r="299" spans="1:16" x14ac:dyDescent="0.3">
      <c r="A299" s="7" t="s">
        <v>541</v>
      </c>
      <c r="B299" s="12" t="s">
        <v>542</v>
      </c>
      <c r="C299" s="1" t="s">
        <v>543</v>
      </c>
      <c r="D299" s="1" t="s">
        <v>316</v>
      </c>
      <c r="E299" s="1" t="s">
        <v>530</v>
      </c>
      <c r="F299" s="7">
        <v>220</v>
      </c>
      <c r="G299" s="1" t="str">
        <f t="shared" si="22"/>
        <v>Transmission</v>
      </c>
      <c r="H299" s="1" t="s">
        <v>21</v>
      </c>
      <c r="I299" s="1" t="s">
        <v>15</v>
      </c>
      <c r="J299" s="7" t="s">
        <v>544</v>
      </c>
      <c r="K299" s="1">
        <v>0.32</v>
      </c>
      <c r="L299" s="1" t="s">
        <v>17</v>
      </c>
      <c r="M299" s="1" t="s">
        <v>545</v>
      </c>
      <c r="N299" s="1" t="s">
        <v>515</v>
      </c>
      <c r="O299" s="1" t="str">
        <f t="shared" si="21"/>
        <v>Medium</v>
      </c>
      <c r="P299" s="1" t="str">
        <f t="shared" si="23"/>
        <v>Sustained</v>
      </c>
    </row>
    <row r="300" spans="1:16" x14ac:dyDescent="0.3">
      <c r="A300" s="7" t="s">
        <v>541</v>
      </c>
      <c r="B300" s="12" t="s">
        <v>542</v>
      </c>
      <c r="C300" s="1" t="s">
        <v>543</v>
      </c>
      <c r="D300" s="1" t="s">
        <v>523</v>
      </c>
      <c r="E300" s="1" t="s">
        <v>533</v>
      </c>
      <c r="F300" s="7">
        <v>220</v>
      </c>
      <c r="G300" s="1" t="str">
        <f t="shared" si="22"/>
        <v>Transmission</v>
      </c>
      <c r="H300" s="1" t="s">
        <v>21</v>
      </c>
      <c r="I300" s="1" t="s">
        <v>15</v>
      </c>
      <c r="J300" s="7" t="s">
        <v>544</v>
      </c>
      <c r="K300" s="1">
        <v>0.32</v>
      </c>
      <c r="L300" s="1" t="s">
        <v>17</v>
      </c>
      <c r="M300" s="1" t="s">
        <v>546</v>
      </c>
      <c r="N300" s="1" t="s">
        <v>515</v>
      </c>
      <c r="O300" s="1" t="str">
        <f t="shared" si="21"/>
        <v>Medium</v>
      </c>
      <c r="P300" s="1" t="str">
        <f t="shared" si="23"/>
        <v>Sustained</v>
      </c>
    </row>
    <row r="301" spans="1:16" x14ac:dyDescent="0.3">
      <c r="A301" s="7" t="s">
        <v>548</v>
      </c>
      <c r="B301" s="12" t="s">
        <v>549</v>
      </c>
      <c r="C301" s="1" t="s">
        <v>550</v>
      </c>
      <c r="D301" s="1" t="s">
        <v>551</v>
      </c>
      <c r="E301" s="1" t="s">
        <v>552</v>
      </c>
      <c r="F301" s="7">
        <v>400</v>
      </c>
      <c r="G301" s="1" t="str">
        <f t="shared" si="22"/>
        <v>Transmission</v>
      </c>
      <c r="H301" s="1" t="s">
        <v>553</v>
      </c>
      <c r="I301" s="1" t="s">
        <v>15</v>
      </c>
      <c r="J301" s="7" t="s">
        <v>554</v>
      </c>
      <c r="K301" s="1">
        <v>0.67</v>
      </c>
      <c r="L301" s="1" t="s">
        <v>555</v>
      </c>
      <c r="M301" s="1" t="s">
        <v>556</v>
      </c>
      <c r="N301" s="1" t="s">
        <v>515</v>
      </c>
      <c r="O301" s="1" t="str">
        <f t="shared" si="21"/>
        <v>High</v>
      </c>
      <c r="P301" s="1" t="str">
        <f t="shared" si="23"/>
        <v>Permanent</v>
      </c>
    </row>
    <row r="302" spans="1:16" x14ac:dyDescent="0.3">
      <c r="A302" s="7" t="s">
        <v>548</v>
      </c>
      <c r="B302" s="12" t="s">
        <v>549</v>
      </c>
      <c r="C302" s="1" t="s">
        <v>550</v>
      </c>
      <c r="D302" s="1" t="s">
        <v>286</v>
      </c>
      <c r="E302" s="1" t="s">
        <v>557</v>
      </c>
      <c r="F302" s="7">
        <v>400</v>
      </c>
      <c r="G302" s="1" t="str">
        <f t="shared" si="22"/>
        <v>Transmission</v>
      </c>
      <c r="H302" s="1" t="s">
        <v>553</v>
      </c>
      <c r="I302" s="1" t="s">
        <v>15</v>
      </c>
      <c r="J302" s="7" t="s">
        <v>558</v>
      </c>
      <c r="K302" s="1">
        <v>0.78</v>
      </c>
      <c r="L302" s="1" t="s">
        <v>415</v>
      </c>
      <c r="M302" s="1" t="s">
        <v>559</v>
      </c>
      <c r="N302" s="1" t="s">
        <v>515</v>
      </c>
      <c r="O302" s="1" t="str">
        <f t="shared" si="21"/>
        <v>High</v>
      </c>
      <c r="P302" s="1" t="str">
        <f t="shared" si="23"/>
        <v>Permanent</v>
      </c>
    </row>
    <row r="303" spans="1:16" x14ac:dyDescent="0.3">
      <c r="A303" s="7" t="s">
        <v>548</v>
      </c>
      <c r="B303" s="12" t="s">
        <v>560</v>
      </c>
      <c r="C303" s="1" t="s">
        <v>561</v>
      </c>
      <c r="D303" s="1" t="s">
        <v>52</v>
      </c>
      <c r="E303" s="1" t="s">
        <v>562</v>
      </c>
      <c r="F303" s="7">
        <v>220</v>
      </c>
      <c r="G303" s="1" t="str">
        <f t="shared" si="22"/>
        <v>Transmission</v>
      </c>
      <c r="H303" s="1" t="s">
        <v>47</v>
      </c>
      <c r="I303" s="1" t="s">
        <v>15</v>
      </c>
      <c r="J303" s="11">
        <v>0.21041666666666667</v>
      </c>
      <c r="K303" s="1">
        <v>7.27</v>
      </c>
      <c r="L303" s="1" t="s">
        <v>563</v>
      </c>
      <c r="M303" s="1" t="s">
        <v>564</v>
      </c>
      <c r="N303" s="1" t="s">
        <v>515</v>
      </c>
      <c r="O303" s="1" t="str">
        <f t="shared" si="21"/>
        <v>High</v>
      </c>
      <c r="P303" s="1" t="str">
        <f t="shared" si="23"/>
        <v>Permanent</v>
      </c>
    </row>
    <row r="304" spans="1:16" x14ac:dyDescent="0.3">
      <c r="A304" s="7" t="s">
        <v>599</v>
      </c>
      <c r="B304" s="12" t="s">
        <v>600</v>
      </c>
      <c r="C304" s="1" t="s">
        <v>595</v>
      </c>
      <c r="D304" s="1" t="s">
        <v>601</v>
      </c>
      <c r="E304" s="1" t="s">
        <v>602</v>
      </c>
      <c r="F304" s="1">
        <v>132</v>
      </c>
      <c r="G304" s="1" t="str">
        <f t="shared" si="22"/>
        <v>Transmission</v>
      </c>
      <c r="H304" s="1" t="s">
        <v>21</v>
      </c>
      <c r="I304" s="1" t="s">
        <v>15</v>
      </c>
      <c r="J304" s="11">
        <v>0.20833333333333334</v>
      </c>
      <c r="K304" s="1">
        <v>9.83</v>
      </c>
      <c r="L304" s="1" t="s">
        <v>17</v>
      </c>
      <c r="M304" s="1" t="s">
        <v>603</v>
      </c>
      <c r="N304" s="1" t="s">
        <v>604</v>
      </c>
      <c r="O304" s="1" t="str">
        <f t="shared" si="21"/>
        <v>High</v>
      </c>
      <c r="P304" s="1" t="str">
        <f t="shared" si="23"/>
        <v>Permanent</v>
      </c>
    </row>
    <row r="305" spans="1:16" x14ac:dyDescent="0.3">
      <c r="A305" s="7" t="s">
        <v>605</v>
      </c>
      <c r="B305" s="12" t="s">
        <v>607</v>
      </c>
      <c r="C305" s="1" t="s">
        <v>608</v>
      </c>
      <c r="D305" s="1" t="s">
        <v>296</v>
      </c>
      <c r="E305" s="1" t="s">
        <v>297</v>
      </c>
      <c r="F305" s="1">
        <v>132</v>
      </c>
      <c r="G305" s="1" t="str">
        <f t="shared" si="22"/>
        <v>Transmission</v>
      </c>
      <c r="H305" s="1" t="s">
        <v>14</v>
      </c>
      <c r="I305" s="1" t="s">
        <v>15</v>
      </c>
      <c r="J305" s="11">
        <v>0.55138888888888893</v>
      </c>
      <c r="K305" s="1">
        <v>0.62</v>
      </c>
      <c r="L305" s="1" t="s">
        <v>17</v>
      </c>
      <c r="M305" s="1" t="s">
        <v>609</v>
      </c>
      <c r="N305" s="1" t="s">
        <v>604</v>
      </c>
      <c r="O305" s="1" t="str">
        <f t="shared" si="21"/>
        <v>High</v>
      </c>
      <c r="P305" s="1" t="str">
        <f t="shared" si="23"/>
        <v>Permanent</v>
      </c>
    </row>
    <row r="306" spans="1:16" x14ac:dyDescent="0.3">
      <c r="A306" s="7" t="s">
        <v>605</v>
      </c>
      <c r="B306" s="12" t="s">
        <v>607</v>
      </c>
      <c r="C306" s="1" t="s">
        <v>608</v>
      </c>
      <c r="D306" s="1" t="s">
        <v>307</v>
      </c>
      <c r="E306" s="1" t="s">
        <v>308</v>
      </c>
      <c r="F306" s="1">
        <v>132</v>
      </c>
      <c r="G306" s="1" t="str">
        <f t="shared" si="22"/>
        <v>Transmission</v>
      </c>
      <c r="H306" s="1" t="s">
        <v>14</v>
      </c>
      <c r="I306" s="1" t="s">
        <v>15</v>
      </c>
      <c r="J306" s="7" t="s">
        <v>612</v>
      </c>
      <c r="K306" s="1">
        <v>1.33</v>
      </c>
      <c r="L306" s="1" t="s">
        <v>301</v>
      </c>
      <c r="M306" s="1" t="s">
        <v>613</v>
      </c>
      <c r="N306" s="1" t="s">
        <v>604</v>
      </c>
      <c r="O306" s="1" t="str">
        <f t="shared" si="21"/>
        <v>High</v>
      </c>
      <c r="P306" s="1" t="str">
        <f t="shared" si="23"/>
        <v>Permanent</v>
      </c>
    </row>
    <row r="307" spans="1:16" x14ac:dyDescent="0.3">
      <c r="A307" s="7" t="s">
        <v>614</v>
      </c>
      <c r="B307" s="12" t="s">
        <v>615</v>
      </c>
      <c r="C307" s="1" t="s">
        <v>616</v>
      </c>
      <c r="D307" s="1" t="s">
        <v>176</v>
      </c>
      <c r="E307" s="1" t="s">
        <v>617</v>
      </c>
      <c r="F307" s="1">
        <v>132</v>
      </c>
      <c r="G307" s="1" t="str">
        <f t="shared" si="22"/>
        <v>Transmission</v>
      </c>
      <c r="H307" s="1" t="s">
        <v>14</v>
      </c>
      <c r="I307" s="1" t="s">
        <v>618</v>
      </c>
      <c r="J307" s="11">
        <v>6.2500000000000003E-3</v>
      </c>
      <c r="K307" s="1">
        <v>1.1000000000000001</v>
      </c>
      <c r="L307" s="1" t="s">
        <v>579</v>
      </c>
      <c r="M307" s="1" t="s">
        <v>619</v>
      </c>
      <c r="N307" s="1" t="s">
        <v>604</v>
      </c>
      <c r="O307" s="1" t="str">
        <f t="shared" si="21"/>
        <v>High</v>
      </c>
      <c r="P307" s="1" t="str">
        <f t="shared" si="23"/>
        <v>Permanent</v>
      </c>
    </row>
    <row r="308" spans="1:16" x14ac:dyDescent="0.3">
      <c r="A308" s="7" t="s">
        <v>628</v>
      </c>
      <c r="B308" s="12" t="s">
        <v>476</v>
      </c>
      <c r="C308" s="1" t="s">
        <v>629</v>
      </c>
      <c r="D308" s="1" t="s">
        <v>199</v>
      </c>
      <c r="E308" s="1" t="s">
        <v>630</v>
      </c>
      <c r="F308" s="1">
        <v>132</v>
      </c>
      <c r="G308" s="1" t="str">
        <f t="shared" si="22"/>
        <v>Transmission</v>
      </c>
      <c r="H308" s="1" t="s">
        <v>21</v>
      </c>
      <c r="I308" s="1" t="s">
        <v>15</v>
      </c>
      <c r="J308" s="7" t="s">
        <v>631</v>
      </c>
      <c r="K308" s="1">
        <v>7.0000000000000007E-2</v>
      </c>
      <c r="L308" s="1" t="s">
        <v>27</v>
      </c>
      <c r="M308" s="1" t="s">
        <v>482</v>
      </c>
      <c r="N308" s="1" t="s">
        <v>604</v>
      </c>
      <c r="O308" s="1" t="str">
        <f t="shared" si="21"/>
        <v>Low</v>
      </c>
      <c r="P308" s="1" t="str">
        <f t="shared" si="23"/>
        <v>Transient</v>
      </c>
    </row>
    <row r="309" spans="1:16" x14ac:dyDescent="0.3">
      <c r="A309" s="7" t="s">
        <v>632</v>
      </c>
      <c r="B309" s="12" t="s">
        <v>633</v>
      </c>
      <c r="C309" s="1" t="s">
        <v>634</v>
      </c>
      <c r="D309" s="1" t="s">
        <v>635</v>
      </c>
      <c r="E309" s="1" t="s">
        <v>636</v>
      </c>
      <c r="F309" s="1">
        <v>132</v>
      </c>
      <c r="G309" s="1" t="str">
        <f t="shared" si="22"/>
        <v>Transmission</v>
      </c>
      <c r="H309" s="1" t="s">
        <v>21</v>
      </c>
      <c r="I309" s="1" t="s">
        <v>15</v>
      </c>
      <c r="J309" s="7" t="s">
        <v>637</v>
      </c>
      <c r="K309" s="1">
        <v>0.73</v>
      </c>
      <c r="L309" s="1" t="s">
        <v>65</v>
      </c>
      <c r="M309" s="1" t="s">
        <v>638</v>
      </c>
      <c r="N309" s="1" t="s">
        <v>604</v>
      </c>
      <c r="O309" s="1" t="str">
        <f t="shared" si="21"/>
        <v>High</v>
      </c>
      <c r="P309" s="1" t="str">
        <f t="shared" si="23"/>
        <v>Permanent</v>
      </c>
    </row>
    <row r="310" spans="1:16" x14ac:dyDescent="0.3">
      <c r="A310" s="7" t="s">
        <v>632</v>
      </c>
      <c r="B310" s="12" t="s">
        <v>640</v>
      </c>
      <c r="C310" s="1" t="s">
        <v>641</v>
      </c>
      <c r="D310" s="1" t="s">
        <v>52</v>
      </c>
      <c r="E310" s="1" t="s">
        <v>643</v>
      </c>
      <c r="F310" s="1">
        <v>220</v>
      </c>
      <c r="G310" s="1" t="str">
        <f t="shared" si="22"/>
        <v>Transmission</v>
      </c>
      <c r="H310" s="1" t="s">
        <v>47</v>
      </c>
      <c r="I310" s="1" t="s">
        <v>15</v>
      </c>
      <c r="J310" s="11">
        <v>7.013888888888889E-2</v>
      </c>
      <c r="K310" s="1">
        <v>2.48</v>
      </c>
      <c r="L310" s="1" t="s">
        <v>109</v>
      </c>
      <c r="M310" s="1" t="s">
        <v>644</v>
      </c>
      <c r="N310" s="1" t="s">
        <v>604</v>
      </c>
      <c r="O310" s="1" t="str">
        <f t="shared" si="21"/>
        <v>High</v>
      </c>
      <c r="P310" s="1" t="str">
        <f t="shared" si="23"/>
        <v>Permanent</v>
      </c>
    </row>
    <row r="311" spans="1:16" x14ac:dyDescent="0.3">
      <c r="A311" s="7" t="s">
        <v>632</v>
      </c>
      <c r="B311" s="12" t="s">
        <v>640</v>
      </c>
      <c r="C311" s="1" t="s">
        <v>641</v>
      </c>
      <c r="D311" s="1" t="s">
        <v>46</v>
      </c>
      <c r="E311" s="1" t="s">
        <v>645</v>
      </c>
      <c r="F311" s="1">
        <v>220</v>
      </c>
      <c r="G311" s="1" t="str">
        <f t="shared" si="22"/>
        <v>Transmission</v>
      </c>
      <c r="H311" s="1" t="s">
        <v>47</v>
      </c>
      <c r="I311" s="1" t="s">
        <v>15</v>
      </c>
      <c r="J311" s="11">
        <v>6.6666666666666666E-2</v>
      </c>
      <c r="K311" s="1">
        <v>2.4</v>
      </c>
      <c r="L311" s="1" t="s">
        <v>48</v>
      </c>
      <c r="M311" s="1" t="s">
        <v>646</v>
      </c>
      <c r="N311" s="1" t="s">
        <v>604</v>
      </c>
      <c r="O311" s="1" t="str">
        <f t="shared" ref="O311:O331" si="24">IF(K311&lt;=0.083,"Low",IF(K311&lt;= 0.5,"Medium",IF(K311&gt;0.5,"High")))</f>
        <v>High</v>
      </c>
      <c r="P311" s="1" t="str">
        <f t="shared" si="23"/>
        <v>Permanent</v>
      </c>
    </row>
    <row r="312" spans="1:16" x14ac:dyDescent="0.3">
      <c r="A312" s="7" t="s">
        <v>647</v>
      </c>
      <c r="B312" s="12" t="s">
        <v>648</v>
      </c>
      <c r="C312" s="1" t="s">
        <v>649</v>
      </c>
      <c r="D312" s="1" t="s">
        <v>551</v>
      </c>
      <c r="E312" s="1" t="s">
        <v>650</v>
      </c>
      <c r="F312" s="1">
        <v>220</v>
      </c>
      <c r="G312" s="1" t="str">
        <f t="shared" si="22"/>
        <v>Transmission</v>
      </c>
      <c r="H312" s="1" t="s">
        <v>47</v>
      </c>
      <c r="I312" s="1" t="s">
        <v>15</v>
      </c>
      <c r="J312" s="7" t="s">
        <v>651</v>
      </c>
      <c r="K312" s="1">
        <v>1.82</v>
      </c>
      <c r="L312" s="1" t="s">
        <v>652</v>
      </c>
      <c r="M312" s="1" t="s">
        <v>653</v>
      </c>
      <c r="N312" s="1" t="s">
        <v>604</v>
      </c>
      <c r="O312" s="1" t="str">
        <f t="shared" si="24"/>
        <v>High</v>
      </c>
      <c r="P312" s="1" t="str">
        <f t="shared" si="23"/>
        <v>Permanent</v>
      </c>
    </row>
    <row r="313" spans="1:16" x14ac:dyDescent="0.3">
      <c r="A313" s="7" t="s">
        <v>647</v>
      </c>
      <c r="B313" s="12" t="s">
        <v>648</v>
      </c>
      <c r="C313" s="1" t="s">
        <v>649</v>
      </c>
      <c r="D313" s="1" t="s">
        <v>283</v>
      </c>
      <c r="E313" s="1" t="s">
        <v>654</v>
      </c>
      <c r="F313" s="1">
        <v>220</v>
      </c>
      <c r="G313" s="1" t="str">
        <f t="shared" si="22"/>
        <v>Transmission</v>
      </c>
      <c r="H313" s="1" t="s">
        <v>47</v>
      </c>
      <c r="I313" s="1" t="s">
        <v>15</v>
      </c>
      <c r="J313" s="7" t="s">
        <v>655</v>
      </c>
      <c r="K313" s="1">
        <v>0.02</v>
      </c>
      <c r="L313" s="1" t="s">
        <v>353</v>
      </c>
      <c r="M313" s="1" t="s">
        <v>656</v>
      </c>
      <c r="N313" s="1" t="s">
        <v>604</v>
      </c>
      <c r="O313" s="1" t="str">
        <f t="shared" si="24"/>
        <v>Low</v>
      </c>
      <c r="P313" s="1" t="str">
        <f t="shared" si="23"/>
        <v>Transient</v>
      </c>
    </row>
    <row r="314" spans="1:16" x14ac:dyDescent="0.3">
      <c r="A314" s="7" t="s">
        <v>647</v>
      </c>
      <c r="B314" s="12" t="s">
        <v>657</v>
      </c>
      <c r="C314" s="1" t="s">
        <v>649</v>
      </c>
      <c r="D314" s="1" t="s">
        <v>52</v>
      </c>
      <c r="E314" s="1" t="s">
        <v>658</v>
      </c>
      <c r="F314" s="1">
        <v>220</v>
      </c>
      <c r="G314" s="1" t="str">
        <f t="shared" si="22"/>
        <v>Transmission</v>
      </c>
      <c r="H314" s="1" t="s">
        <v>47</v>
      </c>
      <c r="I314" s="1" t="s">
        <v>15</v>
      </c>
      <c r="J314" s="7" t="s">
        <v>594</v>
      </c>
      <c r="K314" s="1">
        <v>0.05</v>
      </c>
      <c r="L314" s="1" t="s">
        <v>353</v>
      </c>
      <c r="M314" s="1" t="s">
        <v>659</v>
      </c>
      <c r="N314" s="1" t="s">
        <v>604</v>
      </c>
      <c r="O314" s="1" t="str">
        <f t="shared" si="24"/>
        <v>Low</v>
      </c>
      <c r="P314" s="1" t="str">
        <f t="shared" si="23"/>
        <v>Transient</v>
      </c>
    </row>
    <row r="315" spans="1:16" x14ac:dyDescent="0.3">
      <c r="A315" s="7" t="s">
        <v>660</v>
      </c>
      <c r="B315" s="12" t="s">
        <v>661</v>
      </c>
      <c r="C315" s="1" t="s">
        <v>662</v>
      </c>
      <c r="D315" s="1" t="s">
        <v>663</v>
      </c>
      <c r="E315" s="1" t="s">
        <v>664</v>
      </c>
      <c r="F315" s="1">
        <v>220</v>
      </c>
      <c r="G315" s="1" t="str">
        <f t="shared" si="22"/>
        <v>Transmission</v>
      </c>
      <c r="H315" s="1" t="s">
        <v>665</v>
      </c>
      <c r="I315" s="1" t="s">
        <v>15</v>
      </c>
      <c r="J315" s="7" t="s">
        <v>666</v>
      </c>
      <c r="K315" s="1">
        <v>0.03</v>
      </c>
      <c r="L315" s="1" t="s">
        <v>667</v>
      </c>
      <c r="M315" s="1" t="s">
        <v>668</v>
      </c>
      <c r="N315" s="1" t="s">
        <v>604</v>
      </c>
      <c r="O315" s="1" t="str">
        <f t="shared" si="24"/>
        <v>Low</v>
      </c>
      <c r="P315" s="1" t="str">
        <f t="shared" si="23"/>
        <v>Transient</v>
      </c>
    </row>
    <row r="316" spans="1:16" x14ac:dyDescent="0.3">
      <c r="A316" s="7" t="s">
        <v>660</v>
      </c>
      <c r="B316" s="12" t="s">
        <v>669</v>
      </c>
      <c r="C316" s="1" t="s">
        <v>670</v>
      </c>
      <c r="D316" s="1" t="s">
        <v>36</v>
      </c>
      <c r="E316" s="1" t="s">
        <v>671</v>
      </c>
      <c r="F316" s="1">
        <v>132</v>
      </c>
      <c r="G316" s="1" t="str">
        <f t="shared" si="22"/>
        <v>Transmission</v>
      </c>
      <c r="H316" s="1" t="s">
        <v>665</v>
      </c>
      <c r="I316" s="1" t="s">
        <v>15</v>
      </c>
      <c r="J316" s="7" t="s">
        <v>672</v>
      </c>
      <c r="K316" s="1">
        <v>4.07</v>
      </c>
      <c r="L316" s="1" t="s">
        <v>673</v>
      </c>
      <c r="M316" s="1" t="s">
        <v>674</v>
      </c>
      <c r="N316" s="1" t="s">
        <v>604</v>
      </c>
      <c r="O316" s="1" t="str">
        <f t="shared" si="24"/>
        <v>High</v>
      </c>
      <c r="P316" s="1" t="str">
        <f t="shared" si="23"/>
        <v>Permanent</v>
      </c>
    </row>
    <row r="317" spans="1:16" x14ac:dyDescent="0.3">
      <c r="A317" s="7" t="s">
        <v>660</v>
      </c>
      <c r="B317" s="12" t="s">
        <v>669</v>
      </c>
      <c r="C317" s="1" t="s">
        <v>670</v>
      </c>
      <c r="D317" s="1" t="s">
        <v>86</v>
      </c>
      <c r="E317" s="1" t="s">
        <v>675</v>
      </c>
      <c r="F317" s="1">
        <v>132</v>
      </c>
      <c r="G317" s="1" t="str">
        <f t="shared" si="22"/>
        <v>Transmission</v>
      </c>
      <c r="H317" s="1" t="s">
        <v>665</v>
      </c>
      <c r="I317" s="1" t="s">
        <v>15</v>
      </c>
      <c r="J317" s="7" t="s">
        <v>672</v>
      </c>
      <c r="K317" s="1">
        <v>4.07</v>
      </c>
      <c r="L317" s="1" t="s">
        <v>673</v>
      </c>
      <c r="M317" s="1" t="s">
        <v>676</v>
      </c>
      <c r="N317" s="1" t="s">
        <v>604</v>
      </c>
      <c r="O317" s="1" t="str">
        <f t="shared" si="24"/>
        <v>High</v>
      </c>
      <c r="P317" s="1" t="str">
        <f t="shared" si="23"/>
        <v>Permanent</v>
      </c>
    </row>
    <row r="318" spans="1:16" x14ac:dyDescent="0.3">
      <c r="A318" s="7" t="s">
        <v>677</v>
      </c>
      <c r="B318" s="12" t="s">
        <v>207</v>
      </c>
      <c r="C318" s="1" t="s">
        <v>678</v>
      </c>
      <c r="D318" s="1" t="s">
        <v>199</v>
      </c>
      <c r="E318" s="1" t="s">
        <v>681</v>
      </c>
      <c r="F318" s="1">
        <v>132</v>
      </c>
      <c r="G318" s="1" t="str">
        <f t="shared" si="22"/>
        <v>Transmission</v>
      </c>
      <c r="H318" s="1" t="s">
        <v>665</v>
      </c>
      <c r="I318" s="1" t="s">
        <v>15</v>
      </c>
      <c r="J318" s="7" t="s">
        <v>682</v>
      </c>
      <c r="K318" s="1">
        <v>0.03</v>
      </c>
      <c r="L318" s="1" t="s">
        <v>360</v>
      </c>
      <c r="M318" s="1" t="s">
        <v>683</v>
      </c>
      <c r="N318" s="1" t="s">
        <v>604</v>
      </c>
      <c r="O318" s="1" t="str">
        <f t="shared" si="24"/>
        <v>Low</v>
      </c>
      <c r="P318" s="1" t="str">
        <f t="shared" si="23"/>
        <v>Transient</v>
      </c>
    </row>
    <row r="319" spans="1:16" x14ac:dyDescent="0.3">
      <c r="A319" s="7" t="s">
        <v>677</v>
      </c>
      <c r="B319" s="12" t="s">
        <v>684</v>
      </c>
      <c r="C319" s="1" t="s">
        <v>685</v>
      </c>
      <c r="D319" s="1" t="s">
        <v>86</v>
      </c>
      <c r="E319" s="1" t="s">
        <v>686</v>
      </c>
      <c r="F319" s="1">
        <v>132</v>
      </c>
      <c r="G319" s="1" t="str">
        <f t="shared" si="22"/>
        <v>Transmission</v>
      </c>
      <c r="H319" s="1" t="s">
        <v>87</v>
      </c>
      <c r="I319" s="1" t="s">
        <v>15</v>
      </c>
      <c r="J319" s="7" t="s">
        <v>687</v>
      </c>
      <c r="K319" s="1">
        <v>0.02</v>
      </c>
      <c r="L319" s="1" t="s">
        <v>17</v>
      </c>
      <c r="M319" s="1" t="s">
        <v>688</v>
      </c>
      <c r="N319" s="1" t="s">
        <v>604</v>
      </c>
      <c r="O319" s="1" t="str">
        <f t="shared" si="24"/>
        <v>Low</v>
      </c>
      <c r="P319" s="1" t="str">
        <f t="shared" si="23"/>
        <v>Transient</v>
      </c>
    </row>
    <row r="320" spans="1:16" x14ac:dyDescent="0.3">
      <c r="A320" s="7" t="s">
        <v>691</v>
      </c>
      <c r="B320" s="12" t="s">
        <v>692</v>
      </c>
      <c r="C320" s="1" t="s">
        <v>693</v>
      </c>
      <c r="D320" s="1" t="s">
        <v>523</v>
      </c>
      <c r="E320" s="1" t="s">
        <v>696</v>
      </c>
      <c r="F320" s="1">
        <v>220</v>
      </c>
      <c r="G320" s="1" t="str">
        <f t="shared" si="22"/>
        <v>Transmission</v>
      </c>
      <c r="H320" s="1" t="s">
        <v>21</v>
      </c>
      <c r="I320" s="1" t="s">
        <v>64</v>
      </c>
      <c r="J320" s="7" t="s">
        <v>697</v>
      </c>
      <c r="K320" s="1">
        <v>0.38</v>
      </c>
      <c r="L320" s="1" t="s">
        <v>353</v>
      </c>
      <c r="M320" s="1" t="s">
        <v>698</v>
      </c>
      <c r="N320" s="1" t="s">
        <v>695</v>
      </c>
      <c r="O320" s="1" t="str">
        <f t="shared" si="24"/>
        <v>Medium</v>
      </c>
      <c r="P320" s="1" t="str">
        <f t="shared" si="23"/>
        <v>Sustained</v>
      </c>
    </row>
    <row r="321" spans="1:16" x14ac:dyDescent="0.3">
      <c r="A321" s="7" t="s">
        <v>699</v>
      </c>
      <c r="B321" s="12" t="s">
        <v>700</v>
      </c>
      <c r="C321" s="1" t="s">
        <v>701</v>
      </c>
      <c r="D321" s="1" t="s">
        <v>86</v>
      </c>
      <c r="E321" s="1" t="s">
        <v>702</v>
      </c>
      <c r="F321" s="1">
        <v>132</v>
      </c>
      <c r="G321" s="1" t="str">
        <f t="shared" si="22"/>
        <v>Transmission</v>
      </c>
      <c r="H321" s="1" t="s">
        <v>87</v>
      </c>
      <c r="I321" s="1" t="s">
        <v>64</v>
      </c>
      <c r="J321" s="7" t="s">
        <v>703</v>
      </c>
      <c r="K321" s="1">
        <v>4.67</v>
      </c>
      <c r="L321" s="1" t="s">
        <v>673</v>
      </c>
      <c r="M321" s="1" t="s">
        <v>704</v>
      </c>
      <c r="N321" s="1" t="s">
        <v>695</v>
      </c>
      <c r="O321" s="1" t="str">
        <f t="shared" si="24"/>
        <v>High</v>
      </c>
      <c r="P321" s="1" t="str">
        <f t="shared" si="23"/>
        <v>Permanent</v>
      </c>
    </row>
    <row r="322" spans="1:16" x14ac:dyDescent="0.3">
      <c r="A322" s="7" t="s">
        <v>699</v>
      </c>
      <c r="B322" s="12"/>
      <c r="C322" s="1" t="s">
        <v>701</v>
      </c>
      <c r="D322" s="1" t="s">
        <v>42</v>
      </c>
      <c r="E322" s="1" t="s">
        <v>705</v>
      </c>
      <c r="F322" s="1">
        <v>132</v>
      </c>
      <c r="G322" s="1" t="str">
        <f t="shared" si="22"/>
        <v>Transmission</v>
      </c>
      <c r="H322" s="1" t="s">
        <v>87</v>
      </c>
      <c r="I322" s="1" t="s">
        <v>64</v>
      </c>
      <c r="J322" s="7" t="s">
        <v>706</v>
      </c>
      <c r="K322" s="1">
        <v>6.62</v>
      </c>
      <c r="L322" s="1" t="s">
        <v>673</v>
      </c>
      <c r="M322" s="1" t="s">
        <v>707</v>
      </c>
      <c r="N322" s="1" t="s">
        <v>695</v>
      </c>
      <c r="O322" s="1" t="str">
        <f t="shared" si="24"/>
        <v>High</v>
      </c>
      <c r="P322" s="1" t="str">
        <f t="shared" si="23"/>
        <v>Permanent</v>
      </c>
    </row>
    <row r="323" spans="1:16" x14ac:dyDescent="0.3">
      <c r="A323" s="7" t="s">
        <v>709</v>
      </c>
      <c r="B323" s="12" t="s">
        <v>710</v>
      </c>
      <c r="C323" s="1" t="s">
        <v>711</v>
      </c>
      <c r="D323" s="1" t="s">
        <v>63</v>
      </c>
      <c r="E323" s="1" t="s">
        <v>712</v>
      </c>
      <c r="F323" s="1">
        <v>132</v>
      </c>
      <c r="G323" s="1" t="str">
        <f t="shared" si="22"/>
        <v>Transmission</v>
      </c>
      <c r="H323" s="1" t="s">
        <v>14</v>
      </c>
      <c r="I323" s="1" t="s">
        <v>15</v>
      </c>
      <c r="J323" s="7" t="s">
        <v>713</v>
      </c>
      <c r="K323" s="1">
        <v>0.67</v>
      </c>
      <c r="L323" s="1" t="s">
        <v>17</v>
      </c>
      <c r="M323" s="1" t="s">
        <v>714</v>
      </c>
      <c r="N323" s="1" t="s">
        <v>695</v>
      </c>
      <c r="O323" s="1" t="str">
        <f t="shared" si="24"/>
        <v>High</v>
      </c>
      <c r="P323" s="1" t="str">
        <f t="shared" si="23"/>
        <v>Permanent</v>
      </c>
    </row>
    <row r="324" spans="1:16" x14ac:dyDescent="0.3">
      <c r="A324" s="7" t="s">
        <v>721</v>
      </c>
      <c r="B324" s="12" t="s">
        <v>722</v>
      </c>
      <c r="C324" s="1" t="s">
        <v>723</v>
      </c>
      <c r="D324" s="1" t="s">
        <v>724</v>
      </c>
      <c r="E324" s="1" t="s">
        <v>725</v>
      </c>
      <c r="F324" s="1">
        <v>132</v>
      </c>
      <c r="G324" s="1" t="str">
        <f t="shared" si="22"/>
        <v>Transmission</v>
      </c>
      <c r="H324" s="1" t="s">
        <v>14</v>
      </c>
      <c r="I324" s="1" t="s">
        <v>15</v>
      </c>
      <c r="J324" s="7" t="s">
        <v>726</v>
      </c>
      <c r="K324" s="1">
        <v>1.93</v>
      </c>
      <c r="L324" s="1" t="s">
        <v>301</v>
      </c>
      <c r="M324" s="1" t="s">
        <v>727</v>
      </c>
      <c r="N324" s="1" t="s">
        <v>695</v>
      </c>
      <c r="O324" s="1" t="str">
        <f t="shared" si="24"/>
        <v>High</v>
      </c>
      <c r="P324" s="1" t="str">
        <f t="shared" si="23"/>
        <v>Permanent</v>
      </c>
    </row>
    <row r="325" spans="1:16" x14ac:dyDescent="0.3">
      <c r="A325" s="7" t="s">
        <v>733</v>
      </c>
      <c r="B325" s="12" t="s">
        <v>734</v>
      </c>
      <c r="C325" s="1" t="s">
        <v>735</v>
      </c>
      <c r="D325" s="1" t="s">
        <v>724</v>
      </c>
      <c r="E325" s="1" t="s">
        <v>736</v>
      </c>
      <c r="F325" s="1">
        <v>132</v>
      </c>
      <c r="G325" s="1" t="str">
        <f t="shared" si="22"/>
        <v>Transmission</v>
      </c>
      <c r="H325" s="1" t="s">
        <v>14</v>
      </c>
      <c r="I325" s="1" t="s">
        <v>15</v>
      </c>
      <c r="J325" s="7" t="s">
        <v>737</v>
      </c>
      <c r="K325" s="1">
        <v>2.25</v>
      </c>
      <c r="L325" s="1" t="s">
        <v>301</v>
      </c>
      <c r="M325" s="1" t="s">
        <v>738</v>
      </c>
      <c r="N325" s="1" t="s">
        <v>695</v>
      </c>
      <c r="O325" s="1" t="str">
        <f t="shared" si="24"/>
        <v>High</v>
      </c>
      <c r="P325" s="1" t="str">
        <f t="shared" si="23"/>
        <v>Permanent</v>
      </c>
    </row>
    <row r="326" spans="1:16" x14ac:dyDescent="0.3">
      <c r="A326" s="7" t="s">
        <v>733</v>
      </c>
      <c r="B326" s="12"/>
      <c r="C326" s="1" t="s">
        <v>735</v>
      </c>
      <c r="D326" s="1" t="s">
        <v>724</v>
      </c>
      <c r="E326" s="1" t="s">
        <v>725</v>
      </c>
      <c r="F326" s="1">
        <v>132</v>
      </c>
      <c r="G326" s="1" t="str">
        <f t="shared" si="22"/>
        <v>Transmission</v>
      </c>
      <c r="H326" s="1" t="s">
        <v>14</v>
      </c>
      <c r="I326" s="1" t="s">
        <v>15</v>
      </c>
      <c r="J326" s="7" t="s">
        <v>740</v>
      </c>
      <c r="K326" s="1">
        <v>2.27</v>
      </c>
      <c r="L326" s="1" t="s">
        <v>301</v>
      </c>
      <c r="M326" s="1" t="s">
        <v>738</v>
      </c>
      <c r="N326" s="1" t="s">
        <v>695</v>
      </c>
      <c r="O326" s="1" t="str">
        <f t="shared" si="24"/>
        <v>High</v>
      </c>
      <c r="P326" s="1" t="str">
        <f t="shared" si="23"/>
        <v>Permanent</v>
      </c>
    </row>
    <row r="327" spans="1:16" x14ac:dyDescent="0.3">
      <c r="A327" s="7" t="s">
        <v>733</v>
      </c>
      <c r="B327" s="12" t="s">
        <v>746</v>
      </c>
      <c r="C327" s="1" t="s">
        <v>747</v>
      </c>
      <c r="D327" s="1" t="s">
        <v>748</v>
      </c>
      <c r="E327" s="1" t="s">
        <v>749</v>
      </c>
      <c r="F327" s="1">
        <v>132</v>
      </c>
      <c r="G327" s="1" t="str">
        <f t="shared" si="22"/>
        <v>Transmission</v>
      </c>
      <c r="H327" s="1" t="s">
        <v>14</v>
      </c>
      <c r="I327" s="1" t="s">
        <v>64</v>
      </c>
      <c r="J327" s="7" t="s">
        <v>750</v>
      </c>
      <c r="K327" s="1">
        <v>1.1000000000000001</v>
      </c>
      <c r="L327" s="1" t="s">
        <v>751</v>
      </c>
      <c r="M327" s="1" t="s">
        <v>752</v>
      </c>
      <c r="N327" s="1" t="s">
        <v>695</v>
      </c>
      <c r="O327" s="1" t="str">
        <f t="shared" si="24"/>
        <v>High</v>
      </c>
      <c r="P327" s="1" t="str">
        <f t="shared" si="23"/>
        <v>Permanent</v>
      </c>
    </row>
    <row r="328" spans="1:16" x14ac:dyDescent="0.3">
      <c r="A328" s="7" t="s">
        <v>733</v>
      </c>
      <c r="B328" s="12"/>
      <c r="C328" s="1" t="s">
        <v>747</v>
      </c>
      <c r="D328" s="1" t="s">
        <v>171</v>
      </c>
      <c r="E328" s="1" t="s">
        <v>753</v>
      </c>
      <c r="F328" s="1">
        <v>132</v>
      </c>
      <c r="G328" s="1" t="str">
        <f t="shared" si="22"/>
        <v>Transmission</v>
      </c>
      <c r="H328" s="1" t="s">
        <v>14</v>
      </c>
      <c r="I328" s="1" t="s">
        <v>64</v>
      </c>
      <c r="J328" s="7" t="s">
        <v>754</v>
      </c>
      <c r="K328" s="1">
        <v>1.88</v>
      </c>
      <c r="L328" s="1" t="s">
        <v>751</v>
      </c>
      <c r="M328" s="1" t="s">
        <v>752</v>
      </c>
      <c r="N328" s="1" t="s">
        <v>695</v>
      </c>
      <c r="O328" s="1" t="str">
        <f t="shared" si="24"/>
        <v>High</v>
      </c>
      <c r="P328" s="1" t="str">
        <f t="shared" si="23"/>
        <v>Permanent</v>
      </c>
    </row>
    <row r="329" spans="1:16" x14ac:dyDescent="0.3">
      <c r="A329" s="7" t="s">
        <v>755</v>
      </c>
      <c r="B329" s="12" t="s">
        <v>514</v>
      </c>
      <c r="C329" s="1" t="s">
        <v>756</v>
      </c>
      <c r="D329" s="1" t="s">
        <v>42</v>
      </c>
      <c r="E329" s="1" t="s">
        <v>689</v>
      </c>
      <c r="F329" s="1">
        <v>132</v>
      </c>
      <c r="G329" s="1" t="str">
        <f t="shared" si="22"/>
        <v>Transmission</v>
      </c>
      <c r="H329" s="1" t="s">
        <v>87</v>
      </c>
      <c r="I329" s="1" t="s">
        <v>757</v>
      </c>
      <c r="J329" s="7" t="s">
        <v>758</v>
      </c>
      <c r="K329" s="1">
        <v>0.03</v>
      </c>
      <c r="L329" s="1" t="s">
        <v>17</v>
      </c>
      <c r="M329" s="1" t="s">
        <v>759</v>
      </c>
      <c r="N329" s="1" t="s">
        <v>695</v>
      </c>
      <c r="O329" s="1" t="str">
        <f t="shared" si="24"/>
        <v>Low</v>
      </c>
      <c r="P329" s="1" t="str">
        <f t="shared" si="23"/>
        <v>Transient</v>
      </c>
    </row>
    <row r="330" spans="1:16" x14ac:dyDescent="0.3">
      <c r="A330" s="7" t="s">
        <v>760</v>
      </c>
      <c r="B330" s="12" t="s">
        <v>633</v>
      </c>
      <c r="C330" s="1" t="s">
        <v>634</v>
      </c>
      <c r="D330" s="1" t="s">
        <v>635</v>
      </c>
      <c r="E330" s="1" t="s">
        <v>636</v>
      </c>
      <c r="F330" s="1">
        <v>132</v>
      </c>
      <c r="G330" s="1" t="str">
        <f t="shared" si="22"/>
        <v>Transmission</v>
      </c>
      <c r="H330" s="1" t="s">
        <v>21</v>
      </c>
      <c r="I330" s="1" t="s">
        <v>15</v>
      </c>
      <c r="J330" s="7" t="s">
        <v>637</v>
      </c>
      <c r="K330" s="1">
        <v>0.73</v>
      </c>
      <c r="L330" s="1" t="s">
        <v>65</v>
      </c>
      <c r="M330" s="1" t="s">
        <v>638</v>
      </c>
      <c r="N330" s="1" t="s">
        <v>695</v>
      </c>
      <c r="O330" s="1" t="str">
        <f t="shared" si="24"/>
        <v>High</v>
      </c>
      <c r="P330" s="1" t="str">
        <f t="shared" si="23"/>
        <v>Permanent</v>
      </c>
    </row>
    <row r="331" spans="1:16" x14ac:dyDescent="0.3">
      <c r="A331" s="7" t="s">
        <v>762</v>
      </c>
      <c r="B331" s="12" t="s">
        <v>763</v>
      </c>
      <c r="C331" s="1" t="s">
        <v>764</v>
      </c>
      <c r="D331" s="1" t="s">
        <v>123</v>
      </c>
      <c r="E331" s="1" t="s">
        <v>765</v>
      </c>
      <c r="F331" s="1">
        <v>132</v>
      </c>
      <c r="G331" s="1" t="str">
        <f t="shared" si="22"/>
        <v>Transmission</v>
      </c>
      <c r="H331" s="1" t="s">
        <v>14</v>
      </c>
      <c r="I331" s="1" t="s">
        <v>766</v>
      </c>
      <c r="J331" s="7" t="s">
        <v>767</v>
      </c>
      <c r="K331" s="1">
        <v>0.02</v>
      </c>
      <c r="L331" s="1" t="s">
        <v>17</v>
      </c>
      <c r="M331" s="1" t="s">
        <v>768</v>
      </c>
      <c r="N331" s="1" t="s">
        <v>695</v>
      </c>
      <c r="O331" s="1" t="str">
        <f t="shared" si="24"/>
        <v>Low</v>
      </c>
      <c r="P331" s="1" t="str">
        <f t="shared" si="23"/>
        <v>Transient</v>
      </c>
    </row>
    <row r="332" spans="1:16" x14ac:dyDescent="0.3">
      <c r="A332" s="7" t="s">
        <v>769</v>
      </c>
      <c r="B332" s="12" t="s">
        <v>770</v>
      </c>
      <c r="C332" s="1" t="s">
        <v>723</v>
      </c>
      <c r="D332" s="1" t="s">
        <v>500</v>
      </c>
      <c r="E332" s="1" t="s">
        <v>771</v>
      </c>
      <c r="F332" s="1">
        <v>132</v>
      </c>
      <c r="G332" s="1" t="str">
        <f t="shared" si="22"/>
        <v>Transmission</v>
      </c>
      <c r="H332" s="1" t="s">
        <v>14</v>
      </c>
      <c r="I332" s="1" t="s">
        <v>15</v>
      </c>
      <c r="J332" s="7" t="s">
        <v>772</v>
      </c>
      <c r="K332" s="1">
        <v>0.65</v>
      </c>
      <c r="L332" s="1" t="s">
        <v>301</v>
      </c>
      <c r="M332" s="1" t="s">
        <v>773</v>
      </c>
      <c r="N332" s="1" t="s">
        <v>695</v>
      </c>
      <c r="O332" s="1" t="str">
        <f t="shared" ref="O332:O343" si="25">IF(K332&lt;=0.083,"Low",IF(K332&lt;= 0.5,"Medium",IF(K332&gt;0.5,"High")))</f>
        <v>High</v>
      </c>
      <c r="P332" s="1" t="str">
        <f t="shared" si="23"/>
        <v>Permanent</v>
      </c>
    </row>
    <row r="333" spans="1:16" x14ac:dyDescent="0.3">
      <c r="A333" s="7" t="s">
        <v>778</v>
      </c>
      <c r="B333" s="11">
        <v>0.84583333333333333</v>
      </c>
      <c r="C333" s="1" t="s">
        <v>775</v>
      </c>
      <c r="D333" s="1" t="s">
        <v>500</v>
      </c>
      <c r="E333" s="1" t="s">
        <v>776</v>
      </c>
      <c r="F333" s="1">
        <v>132</v>
      </c>
      <c r="G333" s="1" t="str">
        <f t="shared" si="22"/>
        <v>Transmission</v>
      </c>
      <c r="H333" s="1" t="s">
        <v>14</v>
      </c>
      <c r="I333" s="1" t="s">
        <v>766</v>
      </c>
      <c r="J333" s="7" t="s">
        <v>779</v>
      </c>
      <c r="K333" s="1">
        <v>2.92</v>
      </c>
      <c r="L333" s="1" t="s">
        <v>415</v>
      </c>
      <c r="M333" s="1" t="s">
        <v>780</v>
      </c>
      <c r="N333" s="1" t="s">
        <v>781</v>
      </c>
      <c r="O333" s="1" t="str">
        <f t="shared" si="25"/>
        <v>High</v>
      </c>
      <c r="P333" s="1" t="str">
        <f t="shared" si="23"/>
        <v>Permanent</v>
      </c>
    </row>
    <row r="334" spans="1:16" x14ac:dyDescent="0.3">
      <c r="A334" s="7" t="s">
        <v>778</v>
      </c>
      <c r="B334" s="11">
        <v>0.84583333333333333</v>
      </c>
      <c r="C334" s="1" t="s">
        <v>775</v>
      </c>
      <c r="D334" s="1" t="s">
        <v>171</v>
      </c>
      <c r="E334" s="1" t="s">
        <v>777</v>
      </c>
      <c r="F334" s="1">
        <v>132</v>
      </c>
      <c r="G334" s="1" t="str">
        <f t="shared" ref="G334:G373" si="26">IF(F334&gt;=132,"Transmission",IF(F334&gt;=66,"Sub-Transmission","Distribution"))</f>
        <v>Transmission</v>
      </c>
      <c r="H334" s="1" t="s">
        <v>14</v>
      </c>
      <c r="I334" s="1" t="s">
        <v>766</v>
      </c>
      <c r="J334" s="7" t="s">
        <v>782</v>
      </c>
      <c r="K334" s="1">
        <v>2.23</v>
      </c>
      <c r="L334" s="1" t="s">
        <v>415</v>
      </c>
      <c r="M334" s="1" t="s">
        <v>783</v>
      </c>
      <c r="N334" s="1" t="s">
        <v>781</v>
      </c>
      <c r="O334" s="1" t="str">
        <f t="shared" si="25"/>
        <v>High</v>
      </c>
      <c r="P334" s="1" t="str">
        <f t="shared" ref="P334:P373" si="27">IF(O334="Low","Transient",IF(O334="Medium","Sustained",IF(O334="High","Permanent")))</f>
        <v>Permanent</v>
      </c>
    </row>
    <row r="335" spans="1:16" x14ac:dyDescent="0.3">
      <c r="A335" s="7" t="s">
        <v>784</v>
      </c>
      <c r="B335" s="12" t="s">
        <v>785</v>
      </c>
      <c r="C335" s="1" t="s">
        <v>786</v>
      </c>
      <c r="D335" s="1" t="s">
        <v>86</v>
      </c>
      <c r="E335" s="1" t="s">
        <v>686</v>
      </c>
      <c r="F335" s="1">
        <v>132</v>
      </c>
      <c r="G335" s="1" t="str">
        <f t="shared" si="26"/>
        <v>Transmission</v>
      </c>
      <c r="H335" s="1" t="s">
        <v>87</v>
      </c>
      <c r="I335" s="1" t="s">
        <v>757</v>
      </c>
      <c r="J335" s="7" t="s">
        <v>787</v>
      </c>
      <c r="K335" s="1">
        <v>0.22</v>
      </c>
      <c r="L335" s="1" t="s">
        <v>17</v>
      </c>
      <c r="M335" s="1" t="s">
        <v>788</v>
      </c>
      <c r="N335" s="1" t="s">
        <v>781</v>
      </c>
      <c r="O335" s="1" t="str">
        <f t="shared" si="25"/>
        <v>Medium</v>
      </c>
      <c r="P335" s="1" t="str">
        <f t="shared" si="27"/>
        <v>Sustained</v>
      </c>
    </row>
    <row r="336" spans="1:16" x14ac:dyDescent="0.3">
      <c r="A336" s="7" t="s">
        <v>789</v>
      </c>
      <c r="B336" s="12" t="s">
        <v>790</v>
      </c>
      <c r="C336" s="1" t="s">
        <v>791</v>
      </c>
      <c r="D336" s="1" t="s">
        <v>188</v>
      </c>
      <c r="E336" s="1" t="s">
        <v>792</v>
      </c>
      <c r="F336" s="1">
        <v>220</v>
      </c>
      <c r="G336" s="1" t="str">
        <f t="shared" si="26"/>
        <v>Transmission</v>
      </c>
      <c r="H336" s="1" t="s">
        <v>21</v>
      </c>
      <c r="I336" s="1" t="s">
        <v>15</v>
      </c>
      <c r="J336" s="7" t="s">
        <v>793</v>
      </c>
      <c r="K336" s="1">
        <v>1.73</v>
      </c>
      <c r="L336" s="1" t="s">
        <v>17</v>
      </c>
      <c r="M336" s="1" t="s">
        <v>794</v>
      </c>
      <c r="N336" s="1" t="s">
        <v>781</v>
      </c>
      <c r="O336" s="1" t="str">
        <f t="shared" si="25"/>
        <v>High</v>
      </c>
      <c r="P336" s="1" t="str">
        <f t="shared" si="27"/>
        <v>Permanent</v>
      </c>
    </row>
    <row r="337" spans="1:16" x14ac:dyDescent="0.3">
      <c r="A337" s="7" t="s">
        <v>821</v>
      </c>
      <c r="B337" s="12" t="s">
        <v>822</v>
      </c>
      <c r="C337" s="1" t="s">
        <v>823</v>
      </c>
      <c r="D337" s="1" t="s">
        <v>523</v>
      </c>
      <c r="E337" s="1" t="s">
        <v>445</v>
      </c>
      <c r="F337" s="1">
        <v>220</v>
      </c>
      <c r="G337" s="1" t="str">
        <f t="shared" si="26"/>
        <v>Transmission</v>
      </c>
      <c r="H337" s="1" t="s">
        <v>21</v>
      </c>
      <c r="I337" s="1" t="s">
        <v>64</v>
      </c>
      <c r="J337" s="11">
        <v>5.0694444444444445E-2</v>
      </c>
      <c r="K337" s="1">
        <v>1.6</v>
      </c>
      <c r="L337" s="1" t="s">
        <v>824</v>
      </c>
      <c r="M337" s="1" t="s">
        <v>825</v>
      </c>
      <c r="N337" s="1" t="s">
        <v>781</v>
      </c>
      <c r="O337" s="1" t="str">
        <f t="shared" si="25"/>
        <v>High</v>
      </c>
      <c r="P337" s="1" t="str">
        <f t="shared" si="27"/>
        <v>Permanent</v>
      </c>
    </row>
    <row r="338" spans="1:16" x14ac:dyDescent="0.3">
      <c r="A338" s="7" t="s">
        <v>821</v>
      </c>
      <c r="B338" s="12"/>
      <c r="C338" s="1" t="s">
        <v>823</v>
      </c>
      <c r="D338" s="1" t="s">
        <v>316</v>
      </c>
      <c r="E338" s="1" t="s">
        <v>826</v>
      </c>
      <c r="F338" s="1">
        <v>220</v>
      </c>
      <c r="G338" s="1" t="str">
        <f t="shared" si="26"/>
        <v>Transmission</v>
      </c>
      <c r="H338" s="1" t="s">
        <v>21</v>
      </c>
      <c r="I338" s="1" t="s">
        <v>64</v>
      </c>
      <c r="J338" s="11">
        <v>4.0972222222222222E-2</v>
      </c>
      <c r="K338" s="1">
        <v>1.37</v>
      </c>
      <c r="L338" s="1" t="s">
        <v>353</v>
      </c>
      <c r="M338" s="1" t="s">
        <v>827</v>
      </c>
      <c r="N338" s="1" t="s">
        <v>781</v>
      </c>
      <c r="O338" s="1" t="str">
        <f t="shared" si="25"/>
        <v>High</v>
      </c>
      <c r="P338" s="1" t="str">
        <f t="shared" si="27"/>
        <v>Permanent</v>
      </c>
    </row>
    <row r="339" spans="1:16" x14ac:dyDescent="0.3">
      <c r="A339" s="7" t="s">
        <v>834</v>
      </c>
      <c r="B339" s="12" t="s">
        <v>822</v>
      </c>
      <c r="C339" s="1" t="s">
        <v>823</v>
      </c>
      <c r="D339" s="1" t="s">
        <v>523</v>
      </c>
      <c r="E339" s="1" t="s">
        <v>445</v>
      </c>
      <c r="F339" s="1">
        <v>220</v>
      </c>
      <c r="G339" s="1" t="str">
        <f t="shared" si="26"/>
        <v>Transmission</v>
      </c>
      <c r="H339" s="1" t="s">
        <v>21</v>
      </c>
      <c r="I339" s="1" t="s">
        <v>64</v>
      </c>
      <c r="J339" s="11">
        <v>5.0694444444444445E-2</v>
      </c>
      <c r="K339" s="1">
        <v>1.6</v>
      </c>
      <c r="L339" s="1" t="s">
        <v>824</v>
      </c>
      <c r="M339" s="1" t="s">
        <v>825</v>
      </c>
      <c r="N339" s="1" t="s">
        <v>781</v>
      </c>
      <c r="O339" s="1" t="str">
        <f t="shared" si="25"/>
        <v>High</v>
      </c>
      <c r="P339" s="1" t="str">
        <f t="shared" si="27"/>
        <v>Permanent</v>
      </c>
    </row>
    <row r="340" spans="1:16" x14ac:dyDescent="0.3">
      <c r="A340" s="7" t="s">
        <v>834</v>
      </c>
      <c r="B340" s="12"/>
      <c r="C340" s="1" t="s">
        <v>823</v>
      </c>
      <c r="D340" s="1" t="s">
        <v>316</v>
      </c>
      <c r="E340" s="1" t="s">
        <v>826</v>
      </c>
      <c r="F340" s="1">
        <v>220</v>
      </c>
      <c r="G340" s="1" t="str">
        <f t="shared" si="26"/>
        <v>Transmission</v>
      </c>
      <c r="H340" s="1" t="s">
        <v>21</v>
      </c>
      <c r="I340" s="1" t="s">
        <v>64</v>
      </c>
      <c r="J340" s="11">
        <v>4.0972222222222222E-2</v>
      </c>
      <c r="K340" s="1">
        <v>1.37</v>
      </c>
      <c r="L340" s="1" t="s">
        <v>353</v>
      </c>
      <c r="M340" s="1" t="s">
        <v>827</v>
      </c>
      <c r="N340" s="1" t="s">
        <v>781</v>
      </c>
      <c r="O340" s="1" t="str">
        <f t="shared" si="25"/>
        <v>High</v>
      </c>
      <c r="P340" s="1" t="str">
        <f t="shared" si="27"/>
        <v>Permanent</v>
      </c>
    </row>
    <row r="341" spans="1:16" x14ac:dyDescent="0.3">
      <c r="A341" s="7" t="s">
        <v>835</v>
      </c>
      <c r="B341" s="12" t="s">
        <v>542</v>
      </c>
      <c r="C341" s="1" t="s">
        <v>842</v>
      </c>
      <c r="D341" s="1" t="s">
        <v>86</v>
      </c>
      <c r="E341" s="1" t="s">
        <v>686</v>
      </c>
      <c r="F341" s="1">
        <v>132</v>
      </c>
      <c r="G341" s="1" t="str">
        <f t="shared" si="26"/>
        <v>Transmission</v>
      </c>
      <c r="H341" s="1" t="s">
        <v>87</v>
      </c>
      <c r="I341" s="1" t="s">
        <v>108</v>
      </c>
      <c r="J341" s="7" t="s">
        <v>843</v>
      </c>
      <c r="K341" s="1">
        <v>0.05</v>
      </c>
      <c r="L341" s="1" t="s">
        <v>17</v>
      </c>
      <c r="M341" s="1" t="s">
        <v>844</v>
      </c>
      <c r="N341" s="1" t="s">
        <v>781</v>
      </c>
      <c r="O341" s="1" t="str">
        <f t="shared" si="25"/>
        <v>Low</v>
      </c>
      <c r="P341" s="1" t="str">
        <f t="shared" si="27"/>
        <v>Transient</v>
      </c>
    </row>
    <row r="342" spans="1:16" x14ac:dyDescent="0.3">
      <c r="A342" s="7" t="s">
        <v>835</v>
      </c>
      <c r="B342" s="12" t="s">
        <v>845</v>
      </c>
      <c r="C342" s="1" t="s">
        <v>846</v>
      </c>
      <c r="D342" s="1" t="s">
        <v>86</v>
      </c>
      <c r="E342" s="1" t="s">
        <v>686</v>
      </c>
      <c r="F342" s="1">
        <v>132</v>
      </c>
      <c r="G342" s="1" t="str">
        <f t="shared" si="26"/>
        <v>Transmission</v>
      </c>
      <c r="H342" s="1" t="s">
        <v>87</v>
      </c>
      <c r="I342" s="1" t="s">
        <v>108</v>
      </c>
      <c r="J342" s="7" t="s">
        <v>847</v>
      </c>
      <c r="K342" s="1">
        <v>0.13</v>
      </c>
      <c r="L342" s="1" t="s">
        <v>17</v>
      </c>
      <c r="M342" s="1" t="s">
        <v>844</v>
      </c>
      <c r="N342" s="1" t="s">
        <v>781</v>
      </c>
      <c r="O342" s="1" t="str">
        <f t="shared" si="25"/>
        <v>Medium</v>
      </c>
      <c r="P342" s="1" t="str">
        <f t="shared" si="27"/>
        <v>Sustained</v>
      </c>
    </row>
    <row r="343" spans="1:16" x14ac:dyDescent="0.3">
      <c r="A343" s="7" t="s">
        <v>848</v>
      </c>
      <c r="B343" s="12"/>
      <c r="C343" s="1" t="s">
        <v>849</v>
      </c>
      <c r="D343" s="1" t="s">
        <v>316</v>
      </c>
      <c r="E343" s="1" t="s">
        <v>826</v>
      </c>
      <c r="F343" s="1">
        <v>220</v>
      </c>
      <c r="G343" s="1" t="str">
        <f t="shared" si="26"/>
        <v>Transmission</v>
      </c>
      <c r="H343" s="1" t="s">
        <v>21</v>
      </c>
      <c r="I343" s="1" t="s">
        <v>15</v>
      </c>
      <c r="J343" s="7" t="s">
        <v>850</v>
      </c>
      <c r="K343" s="1">
        <v>0.03</v>
      </c>
      <c r="L343" s="1" t="s">
        <v>17</v>
      </c>
      <c r="M343" s="1" t="s">
        <v>851</v>
      </c>
      <c r="N343" s="1" t="s">
        <v>781</v>
      </c>
      <c r="O343" s="1" t="str">
        <f t="shared" si="25"/>
        <v>Low</v>
      </c>
      <c r="P343" s="1" t="str">
        <f t="shared" si="27"/>
        <v>Transient</v>
      </c>
    </row>
    <row r="344" spans="1:16" x14ac:dyDescent="0.3">
      <c r="A344" s="7" t="s">
        <v>853</v>
      </c>
      <c r="B344" s="12" t="s">
        <v>862</v>
      </c>
      <c r="C344" s="1" t="s">
        <v>863</v>
      </c>
      <c r="D344" s="1" t="s">
        <v>601</v>
      </c>
      <c r="E344" s="1" t="s">
        <v>864</v>
      </c>
      <c r="F344" s="1">
        <v>132</v>
      </c>
      <c r="G344" s="1" t="str">
        <f t="shared" si="26"/>
        <v>Transmission</v>
      </c>
      <c r="H344" s="1" t="s">
        <v>21</v>
      </c>
      <c r="I344" s="1" t="s">
        <v>64</v>
      </c>
      <c r="J344" s="7" t="s">
        <v>865</v>
      </c>
      <c r="K344" s="1">
        <v>0.38</v>
      </c>
      <c r="L344" s="1" t="s">
        <v>17</v>
      </c>
      <c r="M344" s="1" t="s">
        <v>866</v>
      </c>
      <c r="N344" s="1" t="s">
        <v>18</v>
      </c>
      <c r="O344" s="1" t="str">
        <f t="shared" ref="O344:O386" si="28">IF(K344&lt;=0.083,"Low",IF(K344&lt;=0.5,"Medium",IF(K344&gt;0.5,"High")))</f>
        <v>Medium</v>
      </c>
      <c r="P344" s="1" t="str">
        <f t="shared" si="27"/>
        <v>Sustained</v>
      </c>
    </row>
    <row r="345" spans="1:16" x14ac:dyDescent="0.3">
      <c r="A345" s="7" t="s">
        <v>870</v>
      </c>
      <c r="B345" s="12" t="s">
        <v>871</v>
      </c>
      <c r="C345" s="1" t="s">
        <v>872</v>
      </c>
      <c r="D345" s="1" t="s">
        <v>601</v>
      </c>
      <c r="E345" s="1" t="s">
        <v>864</v>
      </c>
      <c r="F345" s="1">
        <v>132</v>
      </c>
      <c r="G345" s="1" t="str">
        <f t="shared" si="26"/>
        <v>Transmission</v>
      </c>
      <c r="H345" s="1" t="s">
        <v>21</v>
      </c>
      <c r="I345" s="1" t="s">
        <v>64</v>
      </c>
      <c r="J345" s="7" t="s">
        <v>873</v>
      </c>
      <c r="K345" s="1">
        <v>7.0000000000000007E-2</v>
      </c>
      <c r="L345" s="1" t="s">
        <v>874</v>
      </c>
      <c r="M345" s="1" t="s">
        <v>866</v>
      </c>
      <c r="N345" s="1" t="s">
        <v>18</v>
      </c>
      <c r="O345" s="1" t="str">
        <f t="shared" si="28"/>
        <v>Low</v>
      </c>
      <c r="P345" s="1" t="str">
        <f t="shared" si="27"/>
        <v>Transient</v>
      </c>
    </row>
    <row r="346" spans="1:16" x14ac:dyDescent="0.3">
      <c r="A346" s="7" t="s">
        <v>875</v>
      </c>
      <c r="B346" s="12" t="s">
        <v>876</v>
      </c>
      <c r="C346" s="1" t="s">
        <v>855</v>
      </c>
      <c r="D346" s="1" t="s">
        <v>523</v>
      </c>
      <c r="E346" s="1" t="s">
        <v>445</v>
      </c>
      <c r="F346" s="1">
        <v>220</v>
      </c>
      <c r="G346" s="1" t="str">
        <f t="shared" si="26"/>
        <v>Transmission</v>
      </c>
      <c r="H346" s="1" t="s">
        <v>21</v>
      </c>
      <c r="I346" s="1" t="s">
        <v>64</v>
      </c>
      <c r="J346" s="7" t="s">
        <v>877</v>
      </c>
      <c r="K346" s="1">
        <v>1.27</v>
      </c>
      <c r="L346" s="1" t="s">
        <v>832</v>
      </c>
      <c r="M346" s="1" t="s">
        <v>878</v>
      </c>
      <c r="N346" s="1" t="s">
        <v>18</v>
      </c>
      <c r="O346" s="1" t="str">
        <f t="shared" si="28"/>
        <v>High</v>
      </c>
      <c r="P346" s="1" t="str">
        <f t="shared" si="27"/>
        <v>Permanent</v>
      </c>
    </row>
    <row r="347" spans="1:16" x14ac:dyDescent="0.3">
      <c r="A347" s="7" t="s">
        <v>887</v>
      </c>
      <c r="B347" s="12" t="s">
        <v>888</v>
      </c>
      <c r="C347" s="1" t="s">
        <v>881</v>
      </c>
      <c r="D347" s="1" t="s">
        <v>601</v>
      </c>
      <c r="E347" s="1" t="s">
        <v>864</v>
      </c>
      <c r="F347" s="1">
        <v>132</v>
      </c>
      <c r="G347" s="1" t="str">
        <f t="shared" si="26"/>
        <v>Transmission</v>
      </c>
      <c r="H347" s="1" t="s">
        <v>21</v>
      </c>
      <c r="I347" s="1" t="s">
        <v>64</v>
      </c>
      <c r="J347" s="7" t="s">
        <v>889</v>
      </c>
      <c r="K347" s="1">
        <v>0.47</v>
      </c>
      <c r="L347" s="1" t="s">
        <v>890</v>
      </c>
      <c r="M347" s="1" t="s">
        <v>891</v>
      </c>
      <c r="N347" s="1" t="s">
        <v>18</v>
      </c>
      <c r="O347" s="1" t="str">
        <f t="shared" si="28"/>
        <v>Medium</v>
      </c>
      <c r="P347" s="1" t="str">
        <f t="shared" si="27"/>
        <v>Sustained</v>
      </c>
    </row>
    <row r="348" spans="1:16" x14ac:dyDescent="0.3">
      <c r="A348" s="7" t="s">
        <v>892</v>
      </c>
      <c r="B348" s="12" t="s">
        <v>893</v>
      </c>
      <c r="C348" s="1" t="s">
        <v>894</v>
      </c>
      <c r="D348" s="1" t="s">
        <v>868</v>
      </c>
      <c r="E348" s="1" t="s">
        <v>869</v>
      </c>
      <c r="F348" s="1">
        <v>132</v>
      </c>
      <c r="G348" s="1" t="str">
        <f t="shared" si="26"/>
        <v>Transmission</v>
      </c>
      <c r="H348" s="1" t="s">
        <v>21</v>
      </c>
      <c r="I348" s="1" t="s">
        <v>64</v>
      </c>
      <c r="J348" s="7" t="s">
        <v>211</v>
      </c>
      <c r="K348" s="1">
        <v>0.08</v>
      </c>
      <c r="L348" s="1" t="s">
        <v>874</v>
      </c>
      <c r="M348" s="1" t="s">
        <v>895</v>
      </c>
      <c r="N348" s="1" t="s">
        <v>18</v>
      </c>
      <c r="O348" s="1" t="str">
        <f t="shared" si="28"/>
        <v>Low</v>
      </c>
      <c r="P348" s="1" t="str">
        <f t="shared" si="27"/>
        <v>Transient</v>
      </c>
    </row>
    <row r="349" spans="1:16" x14ac:dyDescent="0.3">
      <c r="A349" s="7" t="s">
        <v>896</v>
      </c>
      <c r="B349" s="12" t="s">
        <v>897</v>
      </c>
      <c r="C349" s="1" t="s">
        <v>898</v>
      </c>
      <c r="D349" s="1" t="s">
        <v>36</v>
      </c>
      <c r="E349" s="1" t="s">
        <v>899</v>
      </c>
      <c r="F349" s="1">
        <v>132</v>
      </c>
      <c r="G349" s="1" t="str">
        <f t="shared" si="26"/>
        <v>Transmission</v>
      </c>
      <c r="H349" s="1" t="s">
        <v>87</v>
      </c>
      <c r="I349" s="1" t="s">
        <v>64</v>
      </c>
      <c r="J349" s="7" t="s">
        <v>900</v>
      </c>
      <c r="K349" s="1">
        <v>1.72</v>
      </c>
      <c r="L349" s="1" t="s">
        <v>901</v>
      </c>
      <c r="M349" s="1" t="s">
        <v>902</v>
      </c>
      <c r="N349" s="1" t="s">
        <v>18</v>
      </c>
      <c r="O349" s="1" t="str">
        <f t="shared" si="28"/>
        <v>High</v>
      </c>
      <c r="P349" s="1" t="str">
        <f t="shared" si="27"/>
        <v>Permanent</v>
      </c>
    </row>
    <row r="350" spans="1:16" x14ac:dyDescent="0.3">
      <c r="A350" s="7" t="s">
        <v>909</v>
      </c>
      <c r="B350" s="12" t="s">
        <v>502</v>
      </c>
      <c r="C350" s="1" t="s">
        <v>910</v>
      </c>
      <c r="D350" s="1" t="s">
        <v>620</v>
      </c>
      <c r="E350" s="1" t="s">
        <v>911</v>
      </c>
      <c r="F350" s="1">
        <v>132</v>
      </c>
      <c r="G350" s="1" t="str">
        <f t="shared" si="26"/>
        <v>Transmission</v>
      </c>
      <c r="H350" s="1" t="s">
        <v>14</v>
      </c>
      <c r="I350" s="1" t="s">
        <v>64</v>
      </c>
      <c r="J350" s="7" t="s">
        <v>912</v>
      </c>
      <c r="K350" s="1">
        <v>0.48</v>
      </c>
      <c r="L350" s="1" t="s">
        <v>913</v>
      </c>
      <c r="M350" s="1" t="s">
        <v>914</v>
      </c>
      <c r="N350" s="1" t="s">
        <v>18</v>
      </c>
      <c r="O350" s="1" t="str">
        <f t="shared" si="28"/>
        <v>Medium</v>
      </c>
      <c r="P350" s="1" t="str">
        <f t="shared" si="27"/>
        <v>Sustained</v>
      </c>
    </row>
    <row r="351" spans="1:16" x14ac:dyDescent="0.3">
      <c r="A351" s="7" t="s">
        <v>922</v>
      </c>
      <c r="B351" s="12" t="s">
        <v>923</v>
      </c>
      <c r="C351" s="1" t="s">
        <v>924</v>
      </c>
      <c r="D351" s="1" t="s">
        <v>36</v>
      </c>
      <c r="E351" s="1" t="s">
        <v>899</v>
      </c>
      <c r="F351" s="1">
        <v>132</v>
      </c>
      <c r="G351" s="1" t="str">
        <f t="shared" si="26"/>
        <v>Transmission</v>
      </c>
      <c r="H351" s="1" t="s">
        <v>87</v>
      </c>
      <c r="I351" s="1" t="s">
        <v>64</v>
      </c>
      <c r="J351" s="7" t="s">
        <v>900</v>
      </c>
      <c r="K351" s="1">
        <v>0.48</v>
      </c>
      <c r="L351" s="1" t="s">
        <v>901</v>
      </c>
      <c r="M351" s="1" t="s">
        <v>925</v>
      </c>
      <c r="N351" s="1" t="s">
        <v>18</v>
      </c>
      <c r="O351" s="1" t="str">
        <f t="shared" si="28"/>
        <v>Medium</v>
      </c>
      <c r="P351" s="1" t="str">
        <f t="shared" si="27"/>
        <v>Sustained</v>
      </c>
    </row>
    <row r="352" spans="1:16" x14ac:dyDescent="0.3">
      <c r="A352" s="7" t="s">
        <v>951</v>
      </c>
      <c r="B352" s="12" t="s">
        <v>952</v>
      </c>
      <c r="C352" s="1" t="s">
        <v>953</v>
      </c>
      <c r="D352" s="1" t="s">
        <v>748</v>
      </c>
      <c r="E352" s="1" t="s">
        <v>954</v>
      </c>
      <c r="F352" s="1">
        <v>132</v>
      </c>
      <c r="G352" s="1" t="str">
        <f t="shared" si="26"/>
        <v>Transmission</v>
      </c>
      <c r="H352" s="1" t="s">
        <v>14</v>
      </c>
      <c r="I352" s="1" t="s">
        <v>15</v>
      </c>
      <c r="J352" s="7" t="s">
        <v>955</v>
      </c>
      <c r="K352" s="1">
        <v>0.55000000000000004</v>
      </c>
      <c r="L352" s="1" t="s">
        <v>579</v>
      </c>
      <c r="M352" s="1" t="s">
        <v>956</v>
      </c>
      <c r="N352" s="1" t="s">
        <v>18</v>
      </c>
      <c r="O352" s="1" t="str">
        <f t="shared" si="28"/>
        <v>High</v>
      </c>
      <c r="P352" s="1" t="str">
        <f t="shared" si="27"/>
        <v>Permanent</v>
      </c>
    </row>
    <row r="353" spans="1:16" x14ac:dyDescent="0.3">
      <c r="A353" s="7" t="s">
        <v>957</v>
      </c>
      <c r="B353" s="12" t="s">
        <v>958</v>
      </c>
      <c r="C353" s="1" t="s">
        <v>959</v>
      </c>
      <c r="D353" s="1" t="s">
        <v>960</v>
      </c>
      <c r="E353" s="1" t="s">
        <v>961</v>
      </c>
      <c r="F353" s="1">
        <v>132</v>
      </c>
      <c r="G353" s="1" t="str">
        <f t="shared" si="26"/>
        <v>Transmission</v>
      </c>
      <c r="H353" s="1" t="s">
        <v>14</v>
      </c>
      <c r="I353" s="1" t="s">
        <v>108</v>
      </c>
      <c r="J353" s="7" t="s">
        <v>962</v>
      </c>
      <c r="K353" s="1">
        <v>0.83</v>
      </c>
      <c r="L353" s="1" t="s">
        <v>415</v>
      </c>
      <c r="M353" s="1" t="s">
        <v>963</v>
      </c>
      <c r="N353" s="1" t="s">
        <v>18</v>
      </c>
      <c r="O353" s="1" t="str">
        <f t="shared" si="28"/>
        <v>High</v>
      </c>
      <c r="P353" s="1" t="str">
        <f t="shared" si="27"/>
        <v>Permanent</v>
      </c>
    </row>
    <row r="354" spans="1:16" x14ac:dyDescent="0.3">
      <c r="A354" s="7" t="s">
        <v>964</v>
      </c>
      <c r="B354" s="12" t="s">
        <v>965</v>
      </c>
      <c r="C354" s="1" t="s">
        <v>966</v>
      </c>
      <c r="D354" s="1" t="s">
        <v>967</v>
      </c>
      <c r="E354" s="1" t="s">
        <v>968</v>
      </c>
      <c r="F354" s="1">
        <v>132</v>
      </c>
      <c r="G354" s="1" t="str">
        <f t="shared" si="26"/>
        <v>Transmission</v>
      </c>
      <c r="H354" s="1" t="s">
        <v>21</v>
      </c>
      <c r="I354" s="1" t="s">
        <v>969</v>
      </c>
      <c r="J354" s="7" t="s">
        <v>970</v>
      </c>
      <c r="K354" s="1">
        <v>3.88</v>
      </c>
      <c r="L354" s="1" t="s">
        <v>971</v>
      </c>
      <c r="M354" s="1" t="s">
        <v>972</v>
      </c>
      <c r="N354" s="1" t="s">
        <v>18</v>
      </c>
      <c r="O354" s="1" t="str">
        <f t="shared" si="28"/>
        <v>High</v>
      </c>
      <c r="P354" s="1" t="str">
        <f t="shared" si="27"/>
        <v>Permanent</v>
      </c>
    </row>
    <row r="355" spans="1:16" x14ac:dyDescent="0.3">
      <c r="A355" s="7" t="s">
        <v>974</v>
      </c>
      <c r="B355" s="12" t="s">
        <v>975</v>
      </c>
      <c r="C355" s="1" t="s">
        <v>976</v>
      </c>
      <c r="D355" s="1" t="s">
        <v>973</v>
      </c>
      <c r="E355" s="1" t="s">
        <v>977</v>
      </c>
      <c r="F355" s="1">
        <v>132</v>
      </c>
      <c r="G355" s="1" t="str">
        <f t="shared" si="26"/>
        <v>Transmission</v>
      </c>
      <c r="H355" s="1" t="s">
        <v>14</v>
      </c>
      <c r="I355" s="1" t="s">
        <v>64</v>
      </c>
      <c r="J355" s="7" t="s">
        <v>978</v>
      </c>
      <c r="K355" s="1">
        <v>1.43</v>
      </c>
      <c r="L355" s="1" t="s">
        <v>335</v>
      </c>
      <c r="M355" s="1" t="s">
        <v>979</v>
      </c>
      <c r="N355" s="1" t="s">
        <v>18</v>
      </c>
      <c r="O355" s="1" t="str">
        <f t="shared" si="28"/>
        <v>High</v>
      </c>
      <c r="P355" s="1" t="str">
        <f t="shared" si="27"/>
        <v>Permanent</v>
      </c>
    </row>
    <row r="356" spans="1:16" x14ac:dyDescent="0.3">
      <c r="A356" s="7" t="s">
        <v>974</v>
      </c>
      <c r="B356" s="12" t="s">
        <v>975</v>
      </c>
      <c r="C356" s="1" t="s">
        <v>976</v>
      </c>
      <c r="D356" s="1" t="s">
        <v>13</v>
      </c>
      <c r="E356" s="1" t="s">
        <v>324</v>
      </c>
      <c r="F356" s="1">
        <v>132</v>
      </c>
      <c r="G356" s="1" t="str">
        <f t="shared" si="26"/>
        <v>Transmission</v>
      </c>
      <c r="H356" s="1" t="s">
        <v>14</v>
      </c>
      <c r="I356" s="1" t="s">
        <v>64</v>
      </c>
      <c r="J356" s="7" t="s">
        <v>978</v>
      </c>
      <c r="K356" s="1">
        <v>1.43</v>
      </c>
      <c r="L356" s="1" t="s">
        <v>335</v>
      </c>
      <c r="M356" s="1" t="s">
        <v>374</v>
      </c>
      <c r="N356" s="1" t="s">
        <v>18</v>
      </c>
      <c r="O356" s="1" t="str">
        <f t="shared" si="28"/>
        <v>High</v>
      </c>
      <c r="P356" s="1" t="str">
        <f t="shared" si="27"/>
        <v>Permanent</v>
      </c>
    </row>
    <row r="357" spans="1:16" x14ac:dyDescent="0.3">
      <c r="A357" s="7" t="s">
        <v>974</v>
      </c>
      <c r="B357" s="12" t="s">
        <v>975</v>
      </c>
      <c r="C357" s="1" t="s">
        <v>976</v>
      </c>
      <c r="D357" s="1" t="s">
        <v>13</v>
      </c>
      <c r="E357" s="1" t="s">
        <v>980</v>
      </c>
      <c r="F357" s="1">
        <v>132</v>
      </c>
      <c r="G357" s="1" t="str">
        <f t="shared" si="26"/>
        <v>Transmission</v>
      </c>
      <c r="H357" s="1" t="s">
        <v>14</v>
      </c>
      <c r="I357" s="1" t="s">
        <v>64</v>
      </c>
      <c r="J357" s="7" t="s">
        <v>978</v>
      </c>
      <c r="K357" s="1">
        <v>1.43</v>
      </c>
      <c r="L357" s="1" t="s">
        <v>335</v>
      </c>
      <c r="M357" s="1" t="s">
        <v>374</v>
      </c>
      <c r="N357" s="1" t="s">
        <v>18</v>
      </c>
      <c r="O357" s="1" t="str">
        <f t="shared" si="28"/>
        <v>High</v>
      </c>
      <c r="P357" s="1" t="str">
        <f t="shared" si="27"/>
        <v>Permanent</v>
      </c>
    </row>
    <row r="358" spans="1:16" x14ac:dyDescent="0.3">
      <c r="A358" s="7" t="s">
        <v>974</v>
      </c>
      <c r="B358" s="12" t="s">
        <v>975</v>
      </c>
      <c r="C358" s="1" t="s">
        <v>976</v>
      </c>
      <c r="D358" s="1" t="s">
        <v>960</v>
      </c>
      <c r="E358" s="1" t="s">
        <v>320</v>
      </c>
      <c r="F358" s="1">
        <v>132</v>
      </c>
      <c r="G358" s="1" t="str">
        <f t="shared" si="26"/>
        <v>Transmission</v>
      </c>
      <c r="H358" s="1" t="s">
        <v>14</v>
      </c>
      <c r="I358" s="1" t="s">
        <v>64</v>
      </c>
      <c r="J358" s="7" t="s">
        <v>978</v>
      </c>
      <c r="K358" s="1">
        <v>1.43</v>
      </c>
      <c r="L358" s="1" t="s">
        <v>335</v>
      </c>
      <c r="M358" s="1" t="s">
        <v>979</v>
      </c>
      <c r="N358" s="1" t="s">
        <v>18</v>
      </c>
      <c r="O358" s="1" t="str">
        <f t="shared" si="28"/>
        <v>High</v>
      </c>
      <c r="P358" s="1" t="str">
        <f t="shared" si="27"/>
        <v>Permanent</v>
      </c>
    </row>
    <row r="359" spans="1:16" x14ac:dyDescent="0.3">
      <c r="A359" s="7" t="s">
        <v>974</v>
      </c>
      <c r="B359" s="12" t="s">
        <v>975</v>
      </c>
      <c r="C359" s="1" t="s">
        <v>976</v>
      </c>
      <c r="D359" s="1" t="s">
        <v>13</v>
      </c>
      <c r="E359" s="1" t="s">
        <v>323</v>
      </c>
      <c r="F359" s="1">
        <v>132</v>
      </c>
      <c r="G359" s="1" t="str">
        <f t="shared" si="26"/>
        <v>Transmission</v>
      </c>
      <c r="H359" s="1" t="s">
        <v>14</v>
      </c>
      <c r="I359" s="1" t="s">
        <v>64</v>
      </c>
      <c r="J359" s="7" t="s">
        <v>978</v>
      </c>
      <c r="K359" s="1">
        <v>1.43</v>
      </c>
      <c r="L359" s="1" t="s">
        <v>335</v>
      </c>
      <c r="M359" s="1" t="s">
        <v>374</v>
      </c>
      <c r="N359" s="1" t="s">
        <v>18</v>
      </c>
      <c r="O359" s="1" t="str">
        <f t="shared" si="28"/>
        <v>High</v>
      </c>
      <c r="P359" s="1" t="str">
        <f t="shared" si="27"/>
        <v>Permanent</v>
      </c>
    </row>
    <row r="360" spans="1:16" x14ac:dyDescent="0.3">
      <c r="A360" s="7" t="s">
        <v>974</v>
      </c>
      <c r="B360" s="12" t="s">
        <v>975</v>
      </c>
      <c r="C360" s="1" t="s">
        <v>976</v>
      </c>
      <c r="D360" s="1" t="s">
        <v>973</v>
      </c>
      <c r="E360" s="1" t="s">
        <v>981</v>
      </c>
      <c r="F360" s="1">
        <v>132</v>
      </c>
      <c r="G360" s="1" t="str">
        <f t="shared" si="26"/>
        <v>Transmission</v>
      </c>
      <c r="H360" s="1" t="s">
        <v>14</v>
      </c>
      <c r="I360" s="1" t="s">
        <v>64</v>
      </c>
      <c r="J360" s="7" t="s">
        <v>978</v>
      </c>
      <c r="K360" s="1">
        <v>1.43</v>
      </c>
      <c r="L360" s="1" t="s">
        <v>27</v>
      </c>
      <c r="M360" s="1" t="s">
        <v>982</v>
      </c>
      <c r="N360" s="1" t="s">
        <v>18</v>
      </c>
      <c r="O360" s="1" t="str">
        <f t="shared" si="28"/>
        <v>High</v>
      </c>
      <c r="P360" s="1" t="str">
        <f t="shared" si="27"/>
        <v>Permanent</v>
      </c>
    </row>
    <row r="361" spans="1:16" x14ac:dyDescent="0.3">
      <c r="A361" s="7" t="s">
        <v>983</v>
      </c>
      <c r="B361" s="12" t="s">
        <v>984</v>
      </c>
      <c r="C361" s="1" t="s">
        <v>917</v>
      </c>
      <c r="D361" s="1" t="s">
        <v>985</v>
      </c>
      <c r="E361" s="1" t="s">
        <v>915</v>
      </c>
      <c r="F361" s="1">
        <v>132</v>
      </c>
      <c r="G361" s="1" t="str">
        <f t="shared" si="26"/>
        <v>Transmission</v>
      </c>
      <c r="H361" s="1" t="s">
        <v>14</v>
      </c>
      <c r="I361" s="1" t="s">
        <v>64</v>
      </c>
      <c r="J361" s="7" t="s">
        <v>986</v>
      </c>
      <c r="K361" s="1">
        <v>0.53</v>
      </c>
      <c r="L361" s="1" t="s">
        <v>335</v>
      </c>
      <c r="M361" s="1" t="s">
        <v>987</v>
      </c>
      <c r="N361" s="1" t="s">
        <v>18</v>
      </c>
      <c r="O361" s="1" t="str">
        <f t="shared" si="28"/>
        <v>High</v>
      </c>
      <c r="P361" s="1" t="str">
        <f t="shared" si="27"/>
        <v>Permanent</v>
      </c>
    </row>
    <row r="362" spans="1:16" x14ac:dyDescent="0.3">
      <c r="A362" s="7" t="s">
        <v>988</v>
      </c>
      <c r="B362" s="12" t="s">
        <v>989</v>
      </c>
      <c r="C362" s="1" t="s">
        <v>990</v>
      </c>
      <c r="D362" s="1" t="s">
        <v>13</v>
      </c>
      <c r="E362" s="1" t="s">
        <v>991</v>
      </c>
      <c r="F362" s="1">
        <v>132</v>
      </c>
      <c r="G362" s="1" t="str">
        <f t="shared" si="26"/>
        <v>Transmission</v>
      </c>
      <c r="H362" s="1" t="s">
        <v>14</v>
      </c>
      <c r="I362" s="1" t="s">
        <v>15</v>
      </c>
      <c r="J362" s="7" t="s">
        <v>992</v>
      </c>
      <c r="K362" s="1">
        <v>4.88</v>
      </c>
      <c r="L362" s="1" t="s">
        <v>751</v>
      </c>
      <c r="M362" s="1" t="s">
        <v>993</v>
      </c>
      <c r="N362" s="1" t="s">
        <v>18</v>
      </c>
      <c r="O362" s="1" t="str">
        <f t="shared" si="28"/>
        <v>High</v>
      </c>
      <c r="P362" s="1" t="str">
        <f t="shared" si="27"/>
        <v>Permanent</v>
      </c>
    </row>
    <row r="363" spans="1:16" x14ac:dyDescent="0.3">
      <c r="A363" s="7" t="s">
        <v>988</v>
      </c>
      <c r="B363" s="12" t="s">
        <v>989</v>
      </c>
      <c r="C363" s="1" t="s">
        <v>990</v>
      </c>
      <c r="D363" s="1" t="s">
        <v>13</v>
      </c>
      <c r="E363" s="1" t="s">
        <v>994</v>
      </c>
      <c r="F363" s="1">
        <v>132</v>
      </c>
      <c r="G363" s="1" t="str">
        <f t="shared" si="26"/>
        <v>Transmission</v>
      </c>
      <c r="H363" s="1" t="s">
        <v>14</v>
      </c>
      <c r="I363" s="1" t="s">
        <v>15</v>
      </c>
      <c r="J363" s="7" t="s">
        <v>992</v>
      </c>
      <c r="K363" s="1">
        <v>4.88</v>
      </c>
      <c r="L363" s="1" t="s">
        <v>751</v>
      </c>
      <c r="M363" s="1" t="s">
        <v>374</v>
      </c>
      <c r="N363" s="1" t="s">
        <v>18</v>
      </c>
      <c r="O363" s="1" t="str">
        <f t="shared" si="28"/>
        <v>High</v>
      </c>
      <c r="P363" s="1" t="str">
        <f t="shared" si="27"/>
        <v>Permanent</v>
      </c>
    </row>
    <row r="364" spans="1:16" x14ac:dyDescent="0.3">
      <c r="A364" s="7" t="s">
        <v>988</v>
      </c>
      <c r="B364" s="12" t="s">
        <v>989</v>
      </c>
      <c r="C364" s="1" t="s">
        <v>990</v>
      </c>
      <c r="D364" s="1" t="s">
        <v>973</v>
      </c>
      <c r="E364" s="1" t="s">
        <v>995</v>
      </c>
      <c r="F364" s="1">
        <v>132</v>
      </c>
      <c r="G364" s="1" t="str">
        <f t="shared" si="26"/>
        <v>Transmission</v>
      </c>
      <c r="H364" s="1" t="s">
        <v>14</v>
      </c>
      <c r="I364" s="1" t="s">
        <v>15</v>
      </c>
      <c r="J364" s="7" t="s">
        <v>992</v>
      </c>
      <c r="K364" s="1">
        <v>4.88</v>
      </c>
      <c r="L364" s="1" t="s">
        <v>17</v>
      </c>
      <c r="M364" s="1" t="s">
        <v>788</v>
      </c>
      <c r="N364" s="1" t="s">
        <v>18</v>
      </c>
      <c r="O364" s="1" t="str">
        <f t="shared" si="28"/>
        <v>High</v>
      </c>
      <c r="P364" s="1" t="str">
        <f t="shared" si="27"/>
        <v>Permanent</v>
      </c>
    </row>
    <row r="365" spans="1:16" x14ac:dyDescent="0.3">
      <c r="A365" s="7" t="s">
        <v>988</v>
      </c>
      <c r="B365" s="12" t="s">
        <v>989</v>
      </c>
      <c r="C365" s="1" t="s">
        <v>990</v>
      </c>
      <c r="D365" s="1" t="s">
        <v>13</v>
      </c>
      <c r="E365" s="1" t="s">
        <v>996</v>
      </c>
      <c r="F365" s="1">
        <v>132</v>
      </c>
      <c r="G365" s="1" t="str">
        <f t="shared" si="26"/>
        <v>Transmission</v>
      </c>
      <c r="H365" s="1" t="s">
        <v>14</v>
      </c>
      <c r="I365" s="1" t="s">
        <v>15</v>
      </c>
      <c r="J365" s="7" t="s">
        <v>992</v>
      </c>
      <c r="K365" s="1">
        <v>4.88</v>
      </c>
      <c r="L365" s="1" t="s">
        <v>751</v>
      </c>
      <c r="M365" s="1" t="s">
        <v>374</v>
      </c>
      <c r="N365" s="1" t="s">
        <v>18</v>
      </c>
      <c r="O365" s="1" t="str">
        <f t="shared" si="28"/>
        <v>High</v>
      </c>
      <c r="P365" s="1" t="str">
        <f t="shared" si="27"/>
        <v>Permanent</v>
      </c>
    </row>
    <row r="366" spans="1:16" x14ac:dyDescent="0.3">
      <c r="A366" s="7" t="s">
        <v>988</v>
      </c>
      <c r="B366" s="12" t="s">
        <v>989</v>
      </c>
      <c r="C366" s="1" t="s">
        <v>990</v>
      </c>
      <c r="D366" s="1" t="s">
        <v>997</v>
      </c>
      <c r="E366" s="1" t="s">
        <v>998</v>
      </c>
      <c r="F366" s="1">
        <v>132</v>
      </c>
      <c r="G366" s="1" t="str">
        <f t="shared" si="26"/>
        <v>Transmission</v>
      </c>
      <c r="H366" s="1" t="s">
        <v>14</v>
      </c>
      <c r="I366" s="1" t="s">
        <v>15</v>
      </c>
      <c r="J366" s="7" t="s">
        <v>999</v>
      </c>
      <c r="K366" s="1">
        <v>4.9000000000000004</v>
      </c>
      <c r="L366" s="1" t="s">
        <v>17</v>
      </c>
      <c r="M366" s="1" t="s">
        <v>1000</v>
      </c>
      <c r="N366" s="1" t="s">
        <v>18</v>
      </c>
      <c r="O366" s="1" t="str">
        <f t="shared" si="28"/>
        <v>High</v>
      </c>
      <c r="P366" s="1" t="str">
        <f t="shared" si="27"/>
        <v>Permanent</v>
      </c>
    </row>
    <row r="367" spans="1:16" x14ac:dyDescent="0.3">
      <c r="A367" s="7" t="s">
        <v>988</v>
      </c>
      <c r="B367" s="12" t="s">
        <v>989</v>
      </c>
      <c r="C367" s="1" t="s">
        <v>990</v>
      </c>
      <c r="D367" s="1" t="s">
        <v>997</v>
      </c>
      <c r="E367" s="1" t="s">
        <v>1001</v>
      </c>
      <c r="F367" s="1">
        <v>132</v>
      </c>
      <c r="G367" s="1" t="str">
        <f t="shared" si="26"/>
        <v>Transmission</v>
      </c>
      <c r="H367" s="1" t="s">
        <v>14</v>
      </c>
      <c r="I367" s="1" t="s">
        <v>15</v>
      </c>
      <c r="J367" s="7" t="s">
        <v>999</v>
      </c>
      <c r="K367" s="1">
        <v>4.9000000000000004</v>
      </c>
      <c r="L367" s="1" t="s">
        <v>17</v>
      </c>
      <c r="M367" s="1" t="s">
        <v>1000</v>
      </c>
      <c r="N367" s="1" t="s">
        <v>18</v>
      </c>
      <c r="O367" s="1" t="str">
        <f t="shared" si="28"/>
        <v>High</v>
      </c>
      <c r="P367" s="1" t="str">
        <f t="shared" si="27"/>
        <v>Permanent</v>
      </c>
    </row>
    <row r="368" spans="1:16" x14ac:dyDescent="0.3">
      <c r="A368" s="7" t="s">
        <v>1004</v>
      </c>
      <c r="B368" s="12" t="s">
        <v>1005</v>
      </c>
      <c r="C368" s="1" t="s">
        <v>1006</v>
      </c>
      <c r="D368" s="1" t="s">
        <v>1002</v>
      </c>
      <c r="E368" s="1" t="s">
        <v>1003</v>
      </c>
      <c r="F368" s="1">
        <v>132</v>
      </c>
      <c r="G368" s="1" t="str">
        <f t="shared" si="26"/>
        <v>Transmission</v>
      </c>
      <c r="H368" s="1" t="s">
        <v>14</v>
      </c>
      <c r="I368" s="1" t="s">
        <v>15</v>
      </c>
      <c r="J368" s="7" t="s">
        <v>1007</v>
      </c>
      <c r="K368" s="1">
        <v>0.53</v>
      </c>
      <c r="L368" s="1" t="s">
        <v>17</v>
      </c>
      <c r="M368" s="1" t="s">
        <v>788</v>
      </c>
      <c r="N368" s="1" t="s">
        <v>18</v>
      </c>
      <c r="O368" s="1" t="str">
        <f t="shared" si="28"/>
        <v>High</v>
      </c>
      <c r="P368" s="1" t="str">
        <f t="shared" si="27"/>
        <v>Permanent</v>
      </c>
    </row>
    <row r="369" spans="1:16" x14ac:dyDescent="0.3">
      <c r="A369" s="7" t="s">
        <v>1004</v>
      </c>
      <c r="B369" s="12" t="s">
        <v>1005</v>
      </c>
      <c r="C369" s="1" t="s">
        <v>1006</v>
      </c>
      <c r="D369" s="1" t="s">
        <v>1002</v>
      </c>
      <c r="E369" s="1" t="s">
        <v>1008</v>
      </c>
      <c r="F369" s="1">
        <v>132</v>
      </c>
      <c r="G369" s="1" t="str">
        <f t="shared" si="26"/>
        <v>Transmission</v>
      </c>
      <c r="H369" s="1" t="s">
        <v>14</v>
      </c>
      <c r="I369" s="1" t="s">
        <v>15</v>
      </c>
      <c r="J369" s="7" t="s">
        <v>1007</v>
      </c>
      <c r="K369" s="1">
        <v>0.53</v>
      </c>
      <c r="L369" s="1" t="s">
        <v>487</v>
      </c>
      <c r="M369" s="1" t="s">
        <v>788</v>
      </c>
      <c r="N369" s="1" t="s">
        <v>18</v>
      </c>
      <c r="O369" s="1" t="str">
        <f t="shared" si="28"/>
        <v>High</v>
      </c>
      <c r="P369" s="1" t="str">
        <f t="shared" si="27"/>
        <v>Permanent</v>
      </c>
    </row>
    <row r="370" spans="1:16" x14ac:dyDescent="0.3">
      <c r="A370" s="7" t="s">
        <v>1004</v>
      </c>
      <c r="B370" s="12" t="s">
        <v>1005</v>
      </c>
      <c r="C370" s="1" t="s">
        <v>1006</v>
      </c>
      <c r="D370" s="1" t="s">
        <v>1009</v>
      </c>
      <c r="E370" s="1" t="s">
        <v>954</v>
      </c>
      <c r="F370" s="1">
        <v>132</v>
      </c>
      <c r="G370" s="1" t="str">
        <f t="shared" si="26"/>
        <v>Transmission</v>
      </c>
      <c r="H370" s="1" t="s">
        <v>14</v>
      </c>
      <c r="I370" s="1" t="s">
        <v>15</v>
      </c>
      <c r="J370" s="7" t="s">
        <v>1010</v>
      </c>
      <c r="K370" s="1">
        <v>0.62</v>
      </c>
      <c r="L370" s="1" t="s">
        <v>579</v>
      </c>
      <c r="M370" s="1" t="s">
        <v>1011</v>
      </c>
      <c r="N370" s="1" t="s">
        <v>18</v>
      </c>
      <c r="O370" s="1" t="str">
        <f t="shared" si="28"/>
        <v>High</v>
      </c>
      <c r="P370" s="1" t="str">
        <f t="shared" si="27"/>
        <v>Permanent</v>
      </c>
    </row>
    <row r="371" spans="1:16" x14ac:dyDescent="0.3">
      <c r="A371" s="7" t="s">
        <v>1022</v>
      </c>
      <c r="B371" s="12" t="s">
        <v>1023</v>
      </c>
      <c r="C371" s="1" t="s">
        <v>1024</v>
      </c>
      <c r="D371" s="1" t="s">
        <v>1025</v>
      </c>
      <c r="E371" s="1" t="s">
        <v>1026</v>
      </c>
      <c r="F371" s="1">
        <v>220</v>
      </c>
      <c r="G371" s="1" t="str">
        <f t="shared" si="26"/>
        <v>Transmission</v>
      </c>
      <c r="H371" s="1" t="s">
        <v>14</v>
      </c>
      <c r="I371" s="1" t="s">
        <v>108</v>
      </c>
      <c r="J371" s="7" t="s">
        <v>719</v>
      </c>
      <c r="K371" s="1">
        <v>0.08</v>
      </c>
      <c r="L371" s="1" t="s">
        <v>1027</v>
      </c>
      <c r="M371" s="1" t="s">
        <v>382</v>
      </c>
      <c r="N371" s="1" t="s">
        <v>92</v>
      </c>
      <c r="O371" s="1" t="str">
        <f t="shared" si="28"/>
        <v>Low</v>
      </c>
      <c r="P371" s="1" t="str">
        <f t="shared" si="27"/>
        <v>Transient</v>
      </c>
    </row>
    <row r="372" spans="1:16" x14ac:dyDescent="0.3">
      <c r="A372" s="7" t="s">
        <v>1039</v>
      </c>
      <c r="B372" s="12" t="s">
        <v>1040</v>
      </c>
      <c r="C372" s="1" t="s">
        <v>1029</v>
      </c>
      <c r="D372" s="1" t="s">
        <v>13</v>
      </c>
      <c r="E372" s="1" t="s">
        <v>1041</v>
      </c>
      <c r="F372" s="1">
        <v>132</v>
      </c>
      <c r="G372" s="1" t="str">
        <f t="shared" si="26"/>
        <v>Transmission</v>
      </c>
      <c r="H372" s="1" t="s">
        <v>14</v>
      </c>
      <c r="I372" s="1" t="s">
        <v>108</v>
      </c>
      <c r="J372" s="7" t="s">
        <v>1042</v>
      </c>
      <c r="K372" s="1">
        <v>2.65</v>
      </c>
      <c r="L372" s="1" t="s">
        <v>579</v>
      </c>
      <c r="M372" s="1" t="s">
        <v>28</v>
      </c>
      <c r="N372" s="1" t="s">
        <v>92</v>
      </c>
      <c r="O372" s="1" t="str">
        <f t="shared" si="28"/>
        <v>High</v>
      </c>
      <c r="P372" s="1" t="str">
        <f t="shared" si="27"/>
        <v>Permanent</v>
      </c>
    </row>
    <row r="373" spans="1:16" x14ac:dyDescent="0.3">
      <c r="A373" s="7" t="s">
        <v>1039</v>
      </c>
      <c r="B373" s="12" t="s">
        <v>1040</v>
      </c>
      <c r="C373" s="1" t="s">
        <v>1029</v>
      </c>
      <c r="D373" s="1" t="s">
        <v>13</v>
      </c>
      <c r="E373" s="1" t="s">
        <v>1044</v>
      </c>
      <c r="F373" s="1">
        <v>132</v>
      </c>
      <c r="G373" s="1" t="str">
        <f t="shared" si="26"/>
        <v>Transmission</v>
      </c>
      <c r="H373" s="1" t="s">
        <v>14</v>
      </c>
      <c r="I373" s="1" t="s">
        <v>108</v>
      </c>
      <c r="J373" s="7" t="s">
        <v>1045</v>
      </c>
      <c r="K373" s="1">
        <v>2.65</v>
      </c>
      <c r="L373" s="1" t="s">
        <v>579</v>
      </c>
      <c r="M373" s="1" t="s">
        <v>28</v>
      </c>
      <c r="N373" s="1" t="s">
        <v>92</v>
      </c>
      <c r="O373" s="1" t="str">
        <f t="shared" si="28"/>
        <v>High</v>
      </c>
      <c r="P373" s="1" t="str">
        <f t="shared" si="27"/>
        <v>Permanent</v>
      </c>
    </row>
    <row r="374" spans="1:16" x14ac:dyDescent="0.3">
      <c r="A374" s="7" t="s">
        <v>1039</v>
      </c>
      <c r="B374" s="12" t="s">
        <v>1040</v>
      </c>
      <c r="C374" s="1" t="s">
        <v>1029</v>
      </c>
      <c r="D374" s="1" t="s">
        <v>13</v>
      </c>
      <c r="E374" s="1" t="s">
        <v>1046</v>
      </c>
      <c r="F374" s="1">
        <v>132</v>
      </c>
      <c r="G374" s="1" t="str">
        <f t="shared" ref="G374:G426" si="29">IF(F374&gt;=132,"Transmission",IF(F374&gt;=66,"Sub-Transmission","Distribution"))</f>
        <v>Transmission</v>
      </c>
      <c r="H374" s="1" t="s">
        <v>14</v>
      </c>
      <c r="I374" s="1" t="s">
        <v>108</v>
      </c>
      <c r="J374" s="7" t="s">
        <v>1045</v>
      </c>
      <c r="K374" s="1">
        <v>2.65</v>
      </c>
      <c r="L374" s="1" t="s">
        <v>579</v>
      </c>
      <c r="M374" s="1" t="s">
        <v>28</v>
      </c>
      <c r="N374" s="1" t="s">
        <v>92</v>
      </c>
      <c r="O374" s="1" t="str">
        <f t="shared" si="28"/>
        <v>High</v>
      </c>
      <c r="P374" s="1" t="str">
        <f t="shared" ref="P374:P426" si="30">IF(O374="Low","Transient",IF(O374="Medium","Sustained",IF(O374="High","Permanent")))</f>
        <v>Permanent</v>
      </c>
    </row>
    <row r="375" spans="1:16" x14ac:dyDescent="0.3">
      <c r="A375" s="7" t="s">
        <v>1039</v>
      </c>
      <c r="B375" s="12" t="s">
        <v>1040</v>
      </c>
      <c r="C375" s="1" t="s">
        <v>1029</v>
      </c>
      <c r="D375" s="1" t="s">
        <v>960</v>
      </c>
      <c r="E375" s="1" t="s">
        <v>1047</v>
      </c>
      <c r="F375" s="1">
        <v>132</v>
      </c>
      <c r="G375" s="1" t="str">
        <f t="shared" si="29"/>
        <v>Transmission</v>
      </c>
      <c r="H375" s="1" t="s">
        <v>14</v>
      </c>
      <c r="I375" s="1" t="s">
        <v>108</v>
      </c>
      <c r="J375" s="7" t="s">
        <v>1042</v>
      </c>
      <c r="K375" s="1">
        <v>2.65</v>
      </c>
      <c r="L375" s="1" t="s">
        <v>579</v>
      </c>
      <c r="M375" s="1" t="s">
        <v>28</v>
      </c>
      <c r="N375" s="1" t="s">
        <v>92</v>
      </c>
      <c r="O375" s="1" t="str">
        <f t="shared" si="28"/>
        <v>High</v>
      </c>
      <c r="P375" s="1" t="str">
        <f t="shared" si="30"/>
        <v>Permanent</v>
      </c>
    </row>
    <row r="376" spans="1:16" x14ac:dyDescent="0.3">
      <c r="A376" s="7" t="s">
        <v>1039</v>
      </c>
      <c r="B376" s="12" t="s">
        <v>1040</v>
      </c>
      <c r="C376" s="1" t="s">
        <v>1029</v>
      </c>
      <c r="D376" s="1" t="s">
        <v>13</v>
      </c>
      <c r="E376" s="1" t="s">
        <v>337</v>
      </c>
      <c r="F376" s="1">
        <v>132</v>
      </c>
      <c r="G376" s="1" t="str">
        <f t="shared" si="29"/>
        <v>Transmission</v>
      </c>
      <c r="H376" s="1" t="s">
        <v>14</v>
      </c>
      <c r="I376" s="1" t="s">
        <v>108</v>
      </c>
      <c r="J376" s="7" t="s">
        <v>1048</v>
      </c>
      <c r="K376" s="1">
        <v>2.63</v>
      </c>
      <c r="L376" s="1" t="s">
        <v>579</v>
      </c>
      <c r="M376" s="1" t="s">
        <v>28</v>
      </c>
      <c r="N376" s="1" t="s">
        <v>92</v>
      </c>
      <c r="O376" s="1" t="str">
        <f t="shared" si="28"/>
        <v>High</v>
      </c>
      <c r="P376" s="1" t="str">
        <f t="shared" si="30"/>
        <v>Permanent</v>
      </c>
    </row>
    <row r="377" spans="1:16" x14ac:dyDescent="0.3">
      <c r="A377" s="7" t="s">
        <v>1039</v>
      </c>
      <c r="B377" s="12" t="s">
        <v>1049</v>
      </c>
      <c r="C377" s="1" t="s">
        <v>1050</v>
      </c>
      <c r="D377" s="1" t="s">
        <v>985</v>
      </c>
      <c r="E377" s="1" t="s">
        <v>1051</v>
      </c>
      <c r="F377" s="1">
        <v>132</v>
      </c>
      <c r="G377" s="1" t="str">
        <f t="shared" si="29"/>
        <v>Transmission</v>
      </c>
      <c r="H377" s="1" t="s">
        <v>14</v>
      </c>
      <c r="I377" s="1" t="s">
        <v>108</v>
      </c>
      <c r="J377" s="7" t="s">
        <v>1052</v>
      </c>
      <c r="K377" s="1">
        <v>0.53</v>
      </c>
      <c r="L377" s="1" t="s">
        <v>1053</v>
      </c>
      <c r="M377" s="1" t="s">
        <v>1054</v>
      </c>
      <c r="N377" s="1" t="s">
        <v>92</v>
      </c>
      <c r="O377" s="1" t="str">
        <f t="shared" si="28"/>
        <v>High</v>
      </c>
      <c r="P377" s="1" t="str">
        <f t="shared" si="30"/>
        <v>Permanent</v>
      </c>
    </row>
    <row r="378" spans="1:16" x14ac:dyDescent="0.3">
      <c r="A378" s="7" t="s">
        <v>1062</v>
      </c>
      <c r="B378" s="12" t="s">
        <v>1070</v>
      </c>
      <c r="C378" s="1" t="s">
        <v>1071</v>
      </c>
      <c r="D378" s="1" t="s">
        <v>1072</v>
      </c>
      <c r="E378" s="1" t="s">
        <v>1073</v>
      </c>
      <c r="F378" s="1">
        <v>220</v>
      </c>
      <c r="G378" s="1" t="str">
        <f t="shared" si="29"/>
        <v>Transmission</v>
      </c>
      <c r="H378" s="1" t="s">
        <v>313</v>
      </c>
      <c r="I378" s="1" t="s">
        <v>31</v>
      </c>
      <c r="J378" s="7" t="s">
        <v>1059</v>
      </c>
      <c r="K378" s="1">
        <v>2.75</v>
      </c>
      <c r="L378" s="1" t="s">
        <v>1074</v>
      </c>
      <c r="M378" s="1" t="s">
        <v>382</v>
      </c>
      <c r="N378" s="1" t="s">
        <v>92</v>
      </c>
      <c r="O378" s="1" t="str">
        <f t="shared" si="28"/>
        <v>High</v>
      </c>
      <c r="P378" s="1" t="str">
        <f t="shared" si="30"/>
        <v>Permanent</v>
      </c>
    </row>
    <row r="379" spans="1:16" x14ac:dyDescent="0.3">
      <c r="A379" s="7" t="s">
        <v>1062</v>
      </c>
      <c r="B379" s="12" t="s">
        <v>1070</v>
      </c>
      <c r="C379" s="1" t="s">
        <v>1071</v>
      </c>
      <c r="D379" s="1" t="s">
        <v>1072</v>
      </c>
      <c r="E379" s="1" t="s">
        <v>1075</v>
      </c>
      <c r="F379" s="1">
        <v>220</v>
      </c>
      <c r="G379" s="1" t="str">
        <f t="shared" si="29"/>
        <v>Transmission</v>
      </c>
      <c r="H379" s="1" t="s">
        <v>313</v>
      </c>
      <c r="I379" s="1" t="s">
        <v>31</v>
      </c>
      <c r="J379" s="7" t="s">
        <v>1076</v>
      </c>
      <c r="K379" s="1">
        <v>3.7</v>
      </c>
      <c r="L379" s="1" t="s">
        <v>1077</v>
      </c>
      <c r="M379" s="1" t="s">
        <v>1078</v>
      </c>
      <c r="N379" s="1" t="s">
        <v>92</v>
      </c>
      <c r="O379" s="1" t="str">
        <f t="shared" si="28"/>
        <v>High</v>
      </c>
      <c r="P379" s="1" t="str">
        <f t="shared" si="30"/>
        <v>Permanent</v>
      </c>
    </row>
    <row r="380" spans="1:16" x14ac:dyDescent="0.3">
      <c r="A380" s="7" t="s">
        <v>1079</v>
      </c>
      <c r="B380" s="12" t="s">
        <v>1080</v>
      </c>
      <c r="C380" s="1" t="s">
        <v>1081</v>
      </c>
      <c r="D380" s="1" t="s">
        <v>1082</v>
      </c>
      <c r="E380" s="1" t="s">
        <v>1083</v>
      </c>
      <c r="F380" s="1">
        <v>132</v>
      </c>
      <c r="G380" s="1" t="str">
        <f t="shared" si="29"/>
        <v>Transmission</v>
      </c>
      <c r="H380" s="1" t="s">
        <v>14</v>
      </c>
      <c r="I380" s="1" t="s">
        <v>15</v>
      </c>
      <c r="J380" s="7" t="s">
        <v>16</v>
      </c>
      <c r="K380" s="1">
        <v>0</v>
      </c>
      <c r="L380" s="1" t="s">
        <v>17</v>
      </c>
      <c r="M380" s="1" t="s">
        <v>1084</v>
      </c>
      <c r="N380" s="1" t="s">
        <v>156</v>
      </c>
      <c r="O380" s="1" t="str">
        <f t="shared" si="28"/>
        <v>Low</v>
      </c>
      <c r="P380" s="1" t="str">
        <f t="shared" si="30"/>
        <v>Transient</v>
      </c>
    </row>
    <row r="381" spans="1:16" x14ac:dyDescent="0.3">
      <c r="A381" s="7" t="s">
        <v>1085</v>
      </c>
      <c r="B381" s="12" t="s">
        <v>1086</v>
      </c>
      <c r="C381" s="1" t="s">
        <v>1087</v>
      </c>
      <c r="D381" s="1" t="s">
        <v>985</v>
      </c>
      <c r="E381" s="1" t="s">
        <v>1051</v>
      </c>
      <c r="F381" s="1">
        <v>132</v>
      </c>
      <c r="G381" s="1" t="str">
        <f t="shared" si="29"/>
        <v>Transmission</v>
      </c>
      <c r="H381" s="1" t="s">
        <v>14</v>
      </c>
      <c r="I381" s="1" t="s">
        <v>1088</v>
      </c>
      <c r="J381" s="7" t="s">
        <v>1089</v>
      </c>
      <c r="K381" s="1">
        <v>0.85</v>
      </c>
      <c r="L381" s="1" t="s">
        <v>1090</v>
      </c>
      <c r="M381" s="1" t="s">
        <v>1091</v>
      </c>
      <c r="N381" s="1" t="s">
        <v>156</v>
      </c>
      <c r="O381" s="1" t="str">
        <f t="shared" si="28"/>
        <v>High</v>
      </c>
      <c r="P381" s="1" t="str">
        <f t="shared" si="30"/>
        <v>Permanent</v>
      </c>
    </row>
    <row r="382" spans="1:16" x14ac:dyDescent="0.3">
      <c r="A382" s="7" t="s">
        <v>1092</v>
      </c>
      <c r="B382" s="12" t="s">
        <v>1093</v>
      </c>
      <c r="C382" s="1" t="s">
        <v>1094</v>
      </c>
      <c r="D382" s="1" t="s">
        <v>1095</v>
      </c>
      <c r="E382" s="1" t="s">
        <v>1096</v>
      </c>
      <c r="F382" s="1">
        <v>400</v>
      </c>
      <c r="G382" s="1" t="str">
        <f t="shared" si="29"/>
        <v>Transmission</v>
      </c>
      <c r="H382" s="1" t="s">
        <v>14</v>
      </c>
      <c r="I382" s="1" t="s">
        <v>15</v>
      </c>
      <c r="J382" s="7" t="s">
        <v>514</v>
      </c>
      <c r="K382" s="1">
        <v>0.03</v>
      </c>
      <c r="L382" s="1" t="s">
        <v>17</v>
      </c>
      <c r="M382" s="1" t="s">
        <v>382</v>
      </c>
      <c r="N382" s="1" t="s">
        <v>156</v>
      </c>
      <c r="O382" s="1" t="str">
        <f t="shared" si="28"/>
        <v>Low</v>
      </c>
      <c r="P382" s="1" t="str">
        <f t="shared" si="30"/>
        <v>Transient</v>
      </c>
    </row>
    <row r="383" spans="1:16" x14ac:dyDescent="0.3">
      <c r="A383" s="7" t="s">
        <v>1092</v>
      </c>
      <c r="B383" s="12" t="s">
        <v>1093</v>
      </c>
      <c r="C383" s="1" t="s">
        <v>1094</v>
      </c>
      <c r="D383" s="1" t="s">
        <v>1097</v>
      </c>
      <c r="E383" s="1" t="s">
        <v>1098</v>
      </c>
      <c r="F383" s="1">
        <v>220</v>
      </c>
      <c r="G383" s="1" t="str">
        <f t="shared" si="29"/>
        <v>Transmission</v>
      </c>
      <c r="H383" s="1" t="s">
        <v>14</v>
      </c>
      <c r="I383" s="1" t="s">
        <v>15</v>
      </c>
      <c r="J383" s="7" t="s">
        <v>1099</v>
      </c>
      <c r="K383" s="1">
        <v>2</v>
      </c>
      <c r="L383" s="1" t="s">
        <v>17</v>
      </c>
      <c r="M383" s="1" t="s">
        <v>382</v>
      </c>
      <c r="N383" s="1" t="s">
        <v>156</v>
      </c>
      <c r="O383" s="1" t="str">
        <f t="shared" si="28"/>
        <v>High</v>
      </c>
      <c r="P383" s="1" t="str">
        <f t="shared" si="30"/>
        <v>Permanent</v>
      </c>
    </row>
    <row r="384" spans="1:16" x14ac:dyDescent="0.3">
      <c r="A384" s="7" t="s">
        <v>1092</v>
      </c>
      <c r="B384" s="12" t="s">
        <v>1093</v>
      </c>
      <c r="C384" s="1" t="s">
        <v>1094</v>
      </c>
      <c r="D384" s="1" t="s">
        <v>1100</v>
      </c>
      <c r="E384" s="1" t="s">
        <v>1101</v>
      </c>
      <c r="F384" s="1">
        <v>220</v>
      </c>
      <c r="G384" s="1" t="str">
        <f t="shared" si="29"/>
        <v>Transmission</v>
      </c>
      <c r="H384" s="1" t="s">
        <v>14</v>
      </c>
      <c r="I384" s="1" t="s">
        <v>15</v>
      </c>
      <c r="J384" s="7" t="s">
        <v>1099</v>
      </c>
      <c r="K384" s="1">
        <v>2</v>
      </c>
      <c r="L384" s="1" t="s">
        <v>17</v>
      </c>
      <c r="M384" s="1" t="s">
        <v>382</v>
      </c>
      <c r="N384" s="1" t="s">
        <v>156</v>
      </c>
      <c r="O384" s="1" t="str">
        <f t="shared" si="28"/>
        <v>High</v>
      </c>
      <c r="P384" s="1" t="str">
        <f t="shared" si="30"/>
        <v>Permanent</v>
      </c>
    </row>
    <row r="385" spans="1:16" x14ac:dyDescent="0.3">
      <c r="A385" s="7" t="s">
        <v>1092</v>
      </c>
      <c r="B385" s="12" t="s">
        <v>1093</v>
      </c>
      <c r="C385" s="1" t="s">
        <v>1094</v>
      </c>
      <c r="D385" s="1" t="s">
        <v>1100</v>
      </c>
      <c r="E385" s="1" t="s">
        <v>1102</v>
      </c>
      <c r="F385" s="1">
        <v>220</v>
      </c>
      <c r="G385" s="1" t="str">
        <f t="shared" si="29"/>
        <v>Transmission</v>
      </c>
      <c r="H385" s="1" t="s">
        <v>14</v>
      </c>
      <c r="I385" s="1" t="s">
        <v>15</v>
      </c>
      <c r="J385" s="7" t="s">
        <v>640</v>
      </c>
      <c r="K385" s="1">
        <v>2.0699999999999998</v>
      </c>
      <c r="L385" s="1" t="s">
        <v>17</v>
      </c>
      <c r="M385" s="1" t="s">
        <v>1103</v>
      </c>
      <c r="N385" s="1" t="s">
        <v>156</v>
      </c>
      <c r="O385" s="1" t="str">
        <f t="shared" si="28"/>
        <v>High</v>
      </c>
      <c r="P385" s="1" t="str">
        <f t="shared" si="30"/>
        <v>Permanent</v>
      </c>
    </row>
    <row r="386" spans="1:16" x14ac:dyDescent="0.3">
      <c r="A386" s="7" t="s">
        <v>1092</v>
      </c>
      <c r="B386" s="12" t="s">
        <v>1093</v>
      </c>
      <c r="C386" s="1" t="s">
        <v>1094</v>
      </c>
      <c r="D386" s="1" t="s">
        <v>1104</v>
      </c>
      <c r="E386" s="1" t="s">
        <v>1105</v>
      </c>
      <c r="F386" s="1">
        <v>220</v>
      </c>
      <c r="G386" s="1" t="str">
        <f t="shared" si="29"/>
        <v>Transmission</v>
      </c>
      <c r="H386" s="1" t="s">
        <v>14</v>
      </c>
      <c r="I386" s="1" t="s">
        <v>15</v>
      </c>
      <c r="J386" s="7" t="s">
        <v>1106</v>
      </c>
      <c r="K386" s="1">
        <v>2.2200000000000002</v>
      </c>
      <c r="L386" s="1" t="s">
        <v>17</v>
      </c>
      <c r="M386" s="1" t="s">
        <v>374</v>
      </c>
      <c r="N386" s="1" t="s">
        <v>156</v>
      </c>
      <c r="O386" s="1" t="str">
        <f t="shared" si="28"/>
        <v>High</v>
      </c>
      <c r="P386" s="1" t="str">
        <f t="shared" si="30"/>
        <v>Permanent</v>
      </c>
    </row>
    <row r="387" spans="1:16" x14ac:dyDescent="0.3">
      <c r="A387" s="7" t="s">
        <v>1092</v>
      </c>
      <c r="B387" s="12" t="s">
        <v>1093</v>
      </c>
      <c r="C387" s="1" t="s">
        <v>1094</v>
      </c>
      <c r="D387" s="1" t="s">
        <v>1107</v>
      </c>
      <c r="E387" s="1" t="s">
        <v>1108</v>
      </c>
      <c r="F387" s="1">
        <v>220</v>
      </c>
      <c r="G387" s="1" t="str">
        <f t="shared" si="29"/>
        <v>Transmission</v>
      </c>
      <c r="H387" s="1" t="s">
        <v>14</v>
      </c>
      <c r="I387" s="1" t="s">
        <v>15</v>
      </c>
      <c r="J387" s="7" t="s">
        <v>779</v>
      </c>
      <c r="K387" s="1">
        <v>2.08</v>
      </c>
      <c r="L387" s="1" t="s">
        <v>1053</v>
      </c>
      <c r="M387" s="1" t="s">
        <v>1109</v>
      </c>
      <c r="N387" s="1" t="s">
        <v>156</v>
      </c>
      <c r="O387" s="1" t="str">
        <f t="shared" ref="O387:O442" si="31">IF(K387&lt;=0.083,"Low",IF(K387&lt;=0.5,"Medium",IF(K387&gt;0.5,"High")))</f>
        <v>High</v>
      </c>
      <c r="P387" s="1" t="str">
        <f t="shared" si="30"/>
        <v>Permanent</v>
      </c>
    </row>
    <row r="388" spans="1:16" x14ac:dyDescent="0.3">
      <c r="A388" s="7" t="s">
        <v>1092</v>
      </c>
      <c r="B388" s="12" t="s">
        <v>1093</v>
      </c>
      <c r="C388" s="1" t="s">
        <v>1110</v>
      </c>
      <c r="D388" s="1" t="s">
        <v>1111</v>
      </c>
      <c r="E388" s="1" t="s">
        <v>1112</v>
      </c>
      <c r="F388" s="1">
        <v>220</v>
      </c>
      <c r="G388" s="1" t="str">
        <f t="shared" si="29"/>
        <v>Transmission</v>
      </c>
      <c r="H388" s="1" t="s">
        <v>14</v>
      </c>
      <c r="I388" s="1" t="s">
        <v>15</v>
      </c>
      <c r="J388" s="7" t="s">
        <v>1113</v>
      </c>
      <c r="K388" s="1">
        <v>4.38</v>
      </c>
      <c r="L388" s="1" t="s">
        <v>1053</v>
      </c>
      <c r="M388" s="1" t="s">
        <v>1114</v>
      </c>
      <c r="N388" s="1" t="s">
        <v>156</v>
      </c>
      <c r="O388" s="1" t="str">
        <f t="shared" si="31"/>
        <v>High</v>
      </c>
      <c r="P388" s="1" t="str">
        <f t="shared" si="30"/>
        <v>Permanent</v>
      </c>
    </row>
    <row r="389" spans="1:16" x14ac:dyDescent="0.3">
      <c r="A389" s="7" t="s">
        <v>1092</v>
      </c>
      <c r="B389" s="12" t="s">
        <v>1093</v>
      </c>
      <c r="C389" s="1" t="s">
        <v>1110</v>
      </c>
      <c r="D389" s="1" t="s">
        <v>1115</v>
      </c>
      <c r="E389" s="1" t="s">
        <v>1116</v>
      </c>
      <c r="F389" s="1">
        <v>132</v>
      </c>
      <c r="G389" s="1" t="str">
        <f t="shared" si="29"/>
        <v>Transmission</v>
      </c>
      <c r="H389" s="1" t="s">
        <v>14</v>
      </c>
      <c r="I389" s="1" t="s">
        <v>15</v>
      </c>
      <c r="J389" s="7" t="s">
        <v>1117</v>
      </c>
      <c r="K389" s="1">
        <v>2.37</v>
      </c>
      <c r="L389" s="1" t="s">
        <v>1021</v>
      </c>
      <c r="M389" s="1" t="s">
        <v>1114</v>
      </c>
      <c r="N389" s="1" t="s">
        <v>156</v>
      </c>
      <c r="O389" s="1" t="str">
        <f t="shared" si="31"/>
        <v>High</v>
      </c>
      <c r="P389" s="1" t="str">
        <f t="shared" si="30"/>
        <v>Permanent</v>
      </c>
    </row>
    <row r="390" spans="1:16" x14ac:dyDescent="0.3">
      <c r="A390" s="7" t="s">
        <v>1092</v>
      </c>
      <c r="B390" s="12" t="s">
        <v>1093</v>
      </c>
      <c r="C390" s="1" t="s">
        <v>1110</v>
      </c>
      <c r="D390" s="1" t="s">
        <v>1118</v>
      </c>
      <c r="E390" s="1" t="s">
        <v>1119</v>
      </c>
      <c r="F390" s="1">
        <v>132</v>
      </c>
      <c r="G390" s="1" t="str">
        <f t="shared" si="29"/>
        <v>Transmission</v>
      </c>
      <c r="H390" s="1" t="s">
        <v>14</v>
      </c>
      <c r="I390" s="1" t="s">
        <v>15</v>
      </c>
      <c r="J390" s="7" t="s">
        <v>1117</v>
      </c>
      <c r="K390" s="1">
        <v>2.37</v>
      </c>
      <c r="L390" s="1" t="s">
        <v>1053</v>
      </c>
      <c r="M390" s="1" t="s">
        <v>1120</v>
      </c>
      <c r="N390" s="1" t="s">
        <v>156</v>
      </c>
      <c r="O390" s="1" t="str">
        <f t="shared" si="31"/>
        <v>High</v>
      </c>
      <c r="P390" s="1" t="str">
        <f t="shared" si="30"/>
        <v>Permanent</v>
      </c>
    </row>
    <row r="391" spans="1:16" x14ac:dyDescent="0.3">
      <c r="A391" s="7" t="s">
        <v>1092</v>
      </c>
      <c r="B391" s="12" t="s">
        <v>1093</v>
      </c>
      <c r="C391" s="1" t="s">
        <v>1110</v>
      </c>
      <c r="D391" s="1" t="s">
        <v>126</v>
      </c>
      <c r="E391" s="1" t="s">
        <v>1121</v>
      </c>
      <c r="F391" s="1">
        <v>132</v>
      </c>
      <c r="G391" s="1" t="str">
        <f t="shared" si="29"/>
        <v>Transmission</v>
      </c>
      <c r="H391" s="1" t="s">
        <v>14</v>
      </c>
      <c r="I391" s="1" t="s">
        <v>15</v>
      </c>
      <c r="J391" s="7" t="s">
        <v>1122</v>
      </c>
      <c r="K391" s="1">
        <v>2.42</v>
      </c>
      <c r="L391" s="1" t="s">
        <v>1123</v>
      </c>
      <c r="M391" s="1" t="s">
        <v>374</v>
      </c>
      <c r="N391" s="1" t="s">
        <v>156</v>
      </c>
      <c r="O391" s="1" t="str">
        <f t="shared" si="31"/>
        <v>High</v>
      </c>
      <c r="P391" s="1" t="str">
        <f t="shared" si="30"/>
        <v>Permanent</v>
      </c>
    </row>
    <row r="392" spans="1:16" x14ac:dyDescent="0.3">
      <c r="A392" s="7" t="s">
        <v>1092</v>
      </c>
      <c r="B392" s="12" t="s">
        <v>1093</v>
      </c>
      <c r="C392" s="1" t="s">
        <v>1110</v>
      </c>
      <c r="D392" s="1" t="s">
        <v>1002</v>
      </c>
      <c r="E392" s="1" t="s">
        <v>1124</v>
      </c>
      <c r="F392" s="1">
        <v>132</v>
      </c>
      <c r="G392" s="1" t="str">
        <f t="shared" si="29"/>
        <v>Transmission</v>
      </c>
      <c r="H392" s="1" t="s">
        <v>14</v>
      </c>
      <c r="I392" s="1" t="s">
        <v>15</v>
      </c>
      <c r="J392" s="7" t="s">
        <v>1125</v>
      </c>
      <c r="K392" s="1">
        <v>2.13</v>
      </c>
      <c r="L392" s="1" t="s">
        <v>1123</v>
      </c>
      <c r="M392" s="1" t="s">
        <v>1126</v>
      </c>
      <c r="N392" s="1" t="s">
        <v>156</v>
      </c>
      <c r="O392" s="1" t="str">
        <f t="shared" si="31"/>
        <v>High</v>
      </c>
      <c r="P392" s="1" t="str">
        <f t="shared" si="30"/>
        <v>Permanent</v>
      </c>
    </row>
    <row r="393" spans="1:16" x14ac:dyDescent="0.3">
      <c r="A393" s="7" t="s">
        <v>1092</v>
      </c>
      <c r="B393" s="12" t="s">
        <v>1093</v>
      </c>
      <c r="C393" s="1" t="s">
        <v>1110</v>
      </c>
      <c r="D393" s="1" t="s">
        <v>1127</v>
      </c>
      <c r="E393" s="1" t="s">
        <v>1128</v>
      </c>
      <c r="F393" s="1">
        <v>132</v>
      </c>
      <c r="G393" s="1" t="str">
        <f t="shared" si="29"/>
        <v>Transmission</v>
      </c>
      <c r="H393" s="1" t="s">
        <v>14</v>
      </c>
      <c r="I393" s="1" t="s">
        <v>15</v>
      </c>
      <c r="J393" s="7" t="s">
        <v>16</v>
      </c>
      <c r="K393" s="1">
        <v>0</v>
      </c>
      <c r="L393" s="1" t="s">
        <v>17</v>
      </c>
      <c r="M393" s="1" t="s">
        <v>1043</v>
      </c>
      <c r="N393" s="1" t="s">
        <v>156</v>
      </c>
      <c r="O393" s="1" t="str">
        <f t="shared" si="31"/>
        <v>Low</v>
      </c>
      <c r="P393" s="1" t="str">
        <f t="shared" si="30"/>
        <v>Transient</v>
      </c>
    </row>
    <row r="394" spans="1:16" x14ac:dyDescent="0.3">
      <c r="A394" s="7" t="s">
        <v>1092</v>
      </c>
      <c r="B394" s="12" t="s">
        <v>1093</v>
      </c>
      <c r="C394" s="1" t="s">
        <v>1129</v>
      </c>
      <c r="D394" s="1" t="s">
        <v>1134</v>
      </c>
      <c r="E394" s="1" t="s">
        <v>1135</v>
      </c>
      <c r="F394" s="1">
        <v>132</v>
      </c>
      <c r="G394" s="1" t="str">
        <f t="shared" si="29"/>
        <v>Transmission</v>
      </c>
      <c r="H394" s="1" t="s">
        <v>14</v>
      </c>
      <c r="I394" s="1" t="s">
        <v>15</v>
      </c>
      <c r="J394" s="7" t="s">
        <v>1136</v>
      </c>
      <c r="K394" s="1">
        <v>2.72</v>
      </c>
      <c r="L394" s="1" t="s">
        <v>1137</v>
      </c>
      <c r="M394" s="1" t="s">
        <v>1114</v>
      </c>
      <c r="N394" s="1" t="s">
        <v>156</v>
      </c>
      <c r="O394" s="1" t="str">
        <f t="shared" si="31"/>
        <v>High</v>
      </c>
      <c r="P394" s="1" t="str">
        <f t="shared" si="30"/>
        <v>Permanent</v>
      </c>
    </row>
    <row r="395" spans="1:16" x14ac:dyDescent="0.3">
      <c r="A395" s="7" t="s">
        <v>1092</v>
      </c>
      <c r="B395" s="12" t="s">
        <v>1093</v>
      </c>
      <c r="C395" s="1" t="s">
        <v>1129</v>
      </c>
      <c r="D395" s="1" t="s">
        <v>1138</v>
      </c>
      <c r="E395" s="1" t="s">
        <v>1139</v>
      </c>
      <c r="F395" s="1">
        <v>132</v>
      </c>
      <c r="G395" s="1" t="str">
        <f t="shared" si="29"/>
        <v>Transmission</v>
      </c>
      <c r="H395" s="1" t="s">
        <v>14</v>
      </c>
      <c r="I395" s="1" t="s">
        <v>15</v>
      </c>
      <c r="J395" s="7" t="s">
        <v>1140</v>
      </c>
      <c r="K395" s="1">
        <v>3.23</v>
      </c>
      <c r="L395" s="1" t="s">
        <v>1137</v>
      </c>
      <c r="M395" s="1" t="s">
        <v>382</v>
      </c>
      <c r="N395" s="1" t="s">
        <v>156</v>
      </c>
      <c r="O395" s="1" t="str">
        <f t="shared" si="31"/>
        <v>High</v>
      </c>
      <c r="P395" s="1" t="str">
        <f t="shared" si="30"/>
        <v>Permanent</v>
      </c>
    </row>
    <row r="396" spans="1:16" x14ac:dyDescent="0.3">
      <c r="A396" s="7" t="s">
        <v>1092</v>
      </c>
      <c r="B396" s="12" t="s">
        <v>1093</v>
      </c>
      <c r="C396" s="1" t="s">
        <v>1129</v>
      </c>
      <c r="D396" s="1" t="s">
        <v>1141</v>
      </c>
      <c r="E396" s="1" t="s">
        <v>1142</v>
      </c>
      <c r="F396" s="1">
        <v>132</v>
      </c>
      <c r="G396" s="1" t="str">
        <f t="shared" si="29"/>
        <v>Transmission</v>
      </c>
      <c r="H396" s="1" t="s">
        <v>14</v>
      </c>
      <c r="I396" s="1" t="s">
        <v>15</v>
      </c>
      <c r="J396" s="7" t="s">
        <v>1143</v>
      </c>
      <c r="K396" s="1">
        <v>3.27</v>
      </c>
      <c r="L396" s="1" t="s">
        <v>1137</v>
      </c>
      <c r="M396" s="1" t="s">
        <v>382</v>
      </c>
      <c r="N396" s="1" t="s">
        <v>156</v>
      </c>
      <c r="O396" s="1" t="str">
        <f t="shared" si="31"/>
        <v>High</v>
      </c>
      <c r="P396" s="1" t="str">
        <f t="shared" si="30"/>
        <v>Permanent</v>
      </c>
    </row>
    <row r="397" spans="1:16" x14ac:dyDescent="0.3">
      <c r="A397" s="7" t="s">
        <v>1149</v>
      </c>
      <c r="B397" s="12" t="s">
        <v>1150</v>
      </c>
      <c r="C397" s="1" t="s">
        <v>1151</v>
      </c>
      <c r="D397" s="1" t="s">
        <v>1152</v>
      </c>
      <c r="E397" s="1" t="s">
        <v>1153</v>
      </c>
      <c r="F397" s="1">
        <v>132</v>
      </c>
      <c r="G397" s="1" t="str">
        <f t="shared" si="29"/>
        <v>Transmission</v>
      </c>
      <c r="H397" s="1" t="s">
        <v>14</v>
      </c>
      <c r="I397" s="1" t="s">
        <v>1088</v>
      </c>
      <c r="J397" s="7" t="s">
        <v>1154</v>
      </c>
      <c r="K397" s="1">
        <v>0.93</v>
      </c>
      <c r="L397" s="1" t="s">
        <v>1155</v>
      </c>
      <c r="M397" s="1" t="s">
        <v>1156</v>
      </c>
      <c r="N397" s="1" t="s">
        <v>156</v>
      </c>
      <c r="O397" s="1" t="str">
        <f t="shared" si="31"/>
        <v>High</v>
      </c>
      <c r="P397" s="1" t="str">
        <f t="shared" si="30"/>
        <v>Permanent</v>
      </c>
    </row>
    <row r="398" spans="1:16" x14ac:dyDescent="0.3">
      <c r="A398" s="7" t="s">
        <v>1157</v>
      </c>
      <c r="B398" s="12" t="s">
        <v>1158</v>
      </c>
      <c r="C398" s="1" t="s">
        <v>1159</v>
      </c>
      <c r="D398" s="1" t="s">
        <v>1160</v>
      </c>
      <c r="E398" s="1" t="s">
        <v>679</v>
      </c>
      <c r="F398" s="1">
        <v>132</v>
      </c>
      <c r="G398" s="1" t="str">
        <f t="shared" si="29"/>
        <v>Transmission</v>
      </c>
      <c r="H398" s="1" t="s">
        <v>1161</v>
      </c>
      <c r="I398" s="1" t="s">
        <v>15</v>
      </c>
      <c r="J398" s="7" t="s">
        <v>16</v>
      </c>
      <c r="K398" s="1">
        <v>0</v>
      </c>
      <c r="L398" s="1" t="s">
        <v>680</v>
      </c>
      <c r="M398" s="1" t="s">
        <v>1162</v>
      </c>
      <c r="N398" s="1" t="s">
        <v>156</v>
      </c>
      <c r="O398" s="1" t="str">
        <f t="shared" si="31"/>
        <v>Low</v>
      </c>
      <c r="P398" s="1" t="str">
        <f t="shared" si="30"/>
        <v>Transient</v>
      </c>
    </row>
    <row r="399" spans="1:16" x14ac:dyDescent="0.3">
      <c r="A399" s="7" t="s">
        <v>1157</v>
      </c>
      <c r="B399" s="12" t="s">
        <v>1158</v>
      </c>
      <c r="C399" s="1" t="s">
        <v>1159</v>
      </c>
      <c r="D399" s="1" t="s">
        <v>1160</v>
      </c>
      <c r="E399" s="1" t="s">
        <v>681</v>
      </c>
      <c r="F399" s="1">
        <v>132</v>
      </c>
      <c r="G399" s="1" t="str">
        <f t="shared" si="29"/>
        <v>Transmission</v>
      </c>
      <c r="H399" s="1" t="s">
        <v>1161</v>
      </c>
      <c r="I399" s="1" t="s">
        <v>15</v>
      </c>
      <c r="J399" s="7" t="s">
        <v>682</v>
      </c>
      <c r="K399" s="1">
        <v>9.27</v>
      </c>
      <c r="L399" s="1" t="s">
        <v>360</v>
      </c>
      <c r="M399" s="1" t="s">
        <v>1163</v>
      </c>
      <c r="N399" s="1" t="s">
        <v>156</v>
      </c>
      <c r="O399" s="1" t="str">
        <f t="shared" si="31"/>
        <v>High</v>
      </c>
      <c r="P399" s="1" t="str">
        <f t="shared" si="30"/>
        <v>Permanent</v>
      </c>
    </row>
    <row r="400" spans="1:16" x14ac:dyDescent="0.3">
      <c r="A400" s="7" t="s">
        <v>1164</v>
      </c>
      <c r="B400" s="12" t="s">
        <v>754</v>
      </c>
      <c r="C400" s="1" t="s">
        <v>1165</v>
      </c>
      <c r="D400" s="1" t="s">
        <v>1095</v>
      </c>
      <c r="E400" s="1" t="s">
        <v>1166</v>
      </c>
      <c r="F400" s="1">
        <v>400</v>
      </c>
      <c r="G400" s="1" t="str">
        <f t="shared" si="29"/>
        <v>Transmission</v>
      </c>
      <c r="H400" s="1" t="s">
        <v>313</v>
      </c>
      <c r="I400" s="1" t="s">
        <v>15</v>
      </c>
      <c r="J400" s="7" t="s">
        <v>984</v>
      </c>
      <c r="K400" s="1">
        <v>1.28</v>
      </c>
      <c r="L400" s="1" t="s">
        <v>109</v>
      </c>
      <c r="M400" s="1" t="s">
        <v>382</v>
      </c>
      <c r="N400" s="1" t="s">
        <v>156</v>
      </c>
      <c r="O400" s="1" t="str">
        <f t="shared" si="31"/>
        <v>High</v>
      </c>
      <c r="P400" s="1" t="str">
        <f t="shared" si="30"/>
        <v>Permanent</v>
      </c>
    </row>
    <row r="401" spans="1:16" x14ac:dyDescent="0.3">
      <c r="A401" s="7" t="s">
        <v>1164</v>
      </c>
      <c r="B401" s="12" t="s">
        <v>754</v>
      </c>
      <c r="C401" s="1" t="s">
        <v>1165</v>
      </c>
      <c r="D401" s="1" t="s">
        <v>1095</v>
      </c>
      <c r="E401" s="1" t="s">
        <v>1167</v>
      </c>
      <c r="F401" s="1">
        <v>400</v>
      </c>
      <c r="G401" s="1" t="str">
        <f t="shared" si="29"/>
        <v>Transmission</v>
      </c>
      <c r="H401" s="1" t="s">
        <v>313</v>
      </c>
      <c r="I401" s="1" t="s">
        <v>15</v>
      </c>
      <c r="J401" s="7" t="s">
        <v>984</v>
      </c>
      <c r="K401" s="1">
        <v>1.28</v>
      </c>
      <c r="L401" s="1" t="s">
        <v>1027</v>
      </c>
      <c r="M401" s="1" t="s">
        <v>382</v>
      </c>
      <c r="N401" s="1" t="s">
        <v>156</v>
      </c>
      <c r="O401" s="1" t="str">
        <f t="shared" si="31"/>
        <v>High</v>
      </c>
      <c r="P401" s="1" t="str">
        <f t="shared" si="30"/>
        <v>Permanent</v>
      </c>
    </row>
    <row r="402" spans="1:16" x14ac:dyDescent="0.3">
      <c r="A402" s="7" t="s">
        <v>1079</v>
      </c>
      <c r="B402" s="12" t="s">
        <v>1080</v>
      </c>
      <c r="C402" s="1" t="s">
        <v>1081</v>
      </c>
      <c r="D402" s="1" t="s">
        <v>1082</v>
      </c>
      <c r="E402" s="1" t="s">
        <v>1083</v>
      </c>
      <c r="F402" s="1">
        <v>132</v>
      </c>
      <c r="G402" s="1" t="str">
        <f t="shared" si="29"/>
        <v>Transmission</v>
      </c>
      <c r="H402" s="1" t="s">
        <v>14</v>
      </c>
      <c r="I402" s="1" t="s">
        <v>15</v>
      </c>
      <c r="J402" s="7" t="s">
        <v>16</v>
      </c>
      <c r="K402" s="1">
        <v>0</v>
      </c>
      <c r="L402" s="1" t="s">
        <v>17</v>
      </c>
      <c r="M402" s="1" t="s">
        <v>1084</v>
      </c>
      <c r="N402" s="1" t="s">
        <v>156</v>
      </c>
      <c r="O402" s="1" t="str">
        <f t="shared" si="31"/>
        <v>Low</v>
      </c>
      <c r="P402" s="1" t="str">
        <f t="shared" si="30"/>
        <v>Transient</v>
      </c>
    </row>
    <row r="403" spans="1:16" x14ac:dyDescent="0.3">
      <c r="A403" s="7" t="s">
        <v>1085</v>
      </c>
      <c r="B403" s="12" t="s">
        <v>1086</v>
      </c>
      <c r="C403" s="1" t="s">
        <v>1087</v>
      </c>
      <c r="D403" s="1" t="s">
        <v>985</v>
      </c>
      <c r="E403" s="1" t="s">
        <v>1051</v>
      </c>
      <c r="F403" s="1">
        <v>132</v>
      </c>
      <c r="G403" s="1" t="str">
        <f t="shared" si="29"/>
        <v>Transmission</v>
      </c>
      <c r="H403" s="1" t="s">
        <v>14</v>
      </c>
      <c r="I403" s="1" t="s">
        <v>1088</v>
      </c>
      <c r="J403" s="7" t="s">
        <v>1089</v>
      </c>
      <c r="K403" s="1">
        <v>0.85</v>
      </c>
      <c r="L403" s="1" t="s">
        <v>1090</v>
      </c>
      <c r="M403" s="1" t="s">
        <v>1091</v>
      </c>
      <c r="N403" s="1" t="s">
        <v>156</v>
      </c>
      <c r="O403" s="1" t="str">
        <f t="shared" si="31"/>
        <v>High</v>
      </c>
      <c r="P403" s="1" t="str">
        <f t="shared" si="30"/>
        <v>Permanent</v>
      </c>
    </row>
    <row r="404" spans="1:16" x14ac:dyDescent="0.3">
      <c r="A404" s="7" t="s">
        <v>1092</v>
      </c>
      <c r="B404" s="12" t="s">
        <v>1093</v>
      </c>
      <c r="C404" s="1" t="s">
        <v>1094</v>
      </c>
      <c r="D404" s="1" t="s">
        <v>1095</v>
      </c>
      <c r="E404" s="1" t="s">
        <v>1096</v>
      </c>
      <c r="F404" s="1">
        <v>400</v>
      </c>
      <c r="G404" s="1" t="str">
        <f t="shared" si="29"/>
        <v>Transmission</v>
      </c>
      <c r="H404" s="1" t="s">
        <v>14</v>
      </c>
      <c r="I404" s="1" t="s">
        <v>15</v>
      </c>
      <c r="J404" s="7" t="s">
        <v>514</v>
      </c>
      <c r="K404" s="1">
        <v>0.03</v>
      </c>
      <c r="L404" s="1" t="s">
        <v>17</v>
      </c>
      <c r="M404" s="1" t="s">
        <v>382</v>
      </c>
      <c r="N404" s="1" t="s">
        <v>156</v>
      </c>
      <c r="O404" s="1" t="str">
        <f t="shared" si="31"/>
        <v>Low</v>
      </c>
      <c r="P404" s="1" t="str">
        <f t="shared" si="30"/>
        <v>Transient</v>
      </c>
    </row>
    <row r="405" spans="1:16" x14ac:dyDescent="0.3">
      <c r="A405" s="7" t="s">
        <v>1092</v>
      </c>
      <c r="B405" s="12" t="s">
        <v>1093</v>
      </c>
      <c r="C405" s="1" t="s">
        <v>1094</v>
      </c>
      <c r="D405" s="1" t="s">
        <v>1097</v>
      </c>
      <c r="E405" s="1" t="s">
        <v>1098</v>
      </c>
      <c r="F405" s="1">
        <v>220</v>
      </c>
      <c r="G405" s="1" t="str">
        <f t="shared" si="29"/>
        <v>Transmission</v>
      </c>
      <c r="H405" s="1" t="s">
        <v>14</v>
      </c>
      <c r="I405" s="1" t="s">
        <v>15</v>
      </c>
      <c r="J405" s="7" t="s">
        <v>1099</v>
      </c>
      <c r="K405" s="1">
        <v>2</v>
      </c>
      <c r="L405" s="1" t="s">
        <v>17</v>
      </c>
      <c r="M405" s="1" t="s">
        <v>382</v>
      </c>
      <c r="N405" s="1" t="s">
        <v>156</v>
      </c>
      <c r="O405" s="1" t="str">
        <f t="shared" si="31"/>
        <v>High</v>
      </c>
      <c r="P405" s="1" t="str">
        <f t="shared" si="30"/>
        <v>Permanent</v>
      </c>
    </row>
    <row r="406" spans="1:16" x14ac:dyDescent="0.3">
      <c r="A406" s="7" t="s">
        <v>1092</v>
      </c>
      <c r="B406" s="12" t="s">
        <v>1093</v>
      </c>
      <c r="C406" s="1" t="s">
        <v>1094</v>
      </c>
      <c r="D406" s="1" t="s">
        <v>1100</v>
      </c>
      <c r="E406" s="1" t="s">
        <v>1101</v>
      </c>
      <c r="F406" s="1">
        <v>220</v>
      </c>
      <c r="G406" s="1" t="str">
        <f t="shared" si="29"/>
        <v>Transmission</v>
      </c>
      <c r="H406" s="1" t="s">
        <v>14</v>
      </c>
      <c r="I406" s="1" t="s">
        <v>15</v>
      </c>
      <c r="J406" s="7" t="s">
        <v>1099</v>
      </c>
      <c r="K406" s="1">
        <v>2</v>
      </c>
      <c r="L406" s="1" t="s">
        <v>17</v>
      </c>
      <c r="M406" s="1" t="s">
        <v>382</v>
      </c>
      <c r="N406" s="1" t="s">
        <v>156</v>
      </c>
      <c r="O406" s="1" t="str">
        <f t="shared" si="31"/>
        <v>High</v>
      </c>
      <c r="P406" s="1" t="str">
        <f t="shared" si="30"/>
        <v>Permanent</v>
      </c>
    </row>
    <row r="407" spans="1:16" x14ac:dyDescent="0.3">
      <c r="A407" s="7" t="s">
        <v>1092</v>
      </c>
      <c r="B407" s="12" t="s">
        <v>1093</v>
      </c>
      <c r="C407" s="1" t="s">
        <v>1094</v>
      </c>
      <c r="D407" s="1" t="s">
        <v>1100</v>
      </c>
      <c r="E407" s="1" t="s">
        <v>1102</v>
      </c>
      <c r="F407" s="1">
        <v>220</v>
      </c>
      <c r="G407" s="1" t="str">
        <f t="shared" si="29"/>
        <v>Transmission</v>
      </c>
      <c r="H407" s="1" t="s">
        <v>14</v>
      </c>
      <c r="I407" s="1" t="s">
        <v>15</v>
      </c>
      <c r="J407" s="7" t="s">
        <v>640</v>
      </c>
      <c r="K407" s="1">
        <v>2.0699999999999998</v>
      </c>
      <c r="L407" s="1" t="s">
        <v>17</v>
      </c>
      <c r="M407" s="1" t="s">
        <v>1103</v>
      </c>
      <c r="N407" s="1" t="s">
        <v>156</v>
      </c>
      <c r="O407" s="1" t="str">
        <f t="shared" si="31"/>
        <v>High</v>
      </c>
      <c r="P407" s="1" t="str">
        <f t="shared" si="30"/>
        <v>Permanent</v>
      </c>
    </row>
    <row r="408" spans="1:16" x14ac:dyDescent="0.3">
      <c r="A408" s="7" t="s">
        <v>1092</v>
      </c>
      <c r="B408" s="12" t="s">
        <v>1093</v>
      </c>
      <c r="C408" s="1" t="s">
        <v>1094</v>
      </c>
      <c r="D408" s="1" t="s">
        <v>1104</v>
      </c>
      <c r="E408" s="1" t="s">
        <v>1105</v>
      </c>
      <c r="F408" s="1">
        <v>220</v>
      </c>
      <c r="G408" s="1" t="str">
        <f t="shared" si="29"/>
        <v>Transmission</v>
      </c>
      <c r="H408" s="1" t="s">
        <v>14</v>
      </c>
      <c r="I408" s="1" t="s">
        <v>15</v>
      </c>
      <c r="J408" s="7" t="s">
        <v>1106</v>
      </c>
      <c r="K408" s="1">
        <v>2.2200000000000002</v>
      </c>
      <c r="L408" s="1" t="s">
        <v>17</v>
      </c>
      <c r="M408" s="1" t="s">
        <v>374</v>
      </c>
      <c r="N408" s="1" t="s">
        <v>156</v>
      </c>
      <c r="O408" s="1" t="str">
        <f t="shared" si="31"/>
        <v>High</v>
      </c>
      <c r="P408" s="1" t="str">
        <f t="shared" si="30"/>
        <v>Permanent</v>
      </c>
    </row>
    <row r="409" spans="1:16" x14ac:dyDescent="0.3">
      <c r="A409" s="7" t="s">
        <v>1092</v>
      </c>
      <c r="B409" s="12" t="s">
        <v>1093</v>
      </c>
      <c r="C409" s="1" t="s">
        <v>1094</v>
      </c>
      <c r="D409" s="1" t="s">
        <v>1107</v>
      </c>
      <c r="E409" s="1" t="s">
        <v>1108</v>
      </c>
      <c r="F409" s="1">
        <v>220</v>
      </c>
      <c r="G409" s="1" t="str">
        <f t="shared" si="29"/>
        <v>Transmission</v>
      </c>
      <c r="H409" s="1" t="s">
        <v>14</v>
      </c>
      <c r="I409" s="1" t="s">
        <v>15</v>
      </c>
      <c r="J409" s="7" t="s">
        <v>779</v>
      </c>
      <c r="K409" s="1">
        <v>2.08</v>
      </c>
      <c r="L409" s="1" t="s">
        <v>1053</v>
      </c>
      <c r="M409" s="1" t="s">
        <v>1109</v>
      </c>
      <c r="N409" s="1" t="s">
        <v>156</v>
      </c>
      <c r="O409" s="1" t="str">
        <f t="shared" si="31"/>
        <v>High</v>
      </c>
      <c r="P409" s="1" t="str">
        <f t="shared" si="30"/>
        <v>Permanent</v>
      </c>
    </row>
    <row r="410" spans="1:16" x14ac:dyDescent="0.3">
      <c r="A410" s="7" t="s">
        <v>1092</v>
      </c>
      <c r="B410" s="12" t="s">
        <v>1093</v>
      </c>
      <c r="C410" s="1" t="s">
        <v>1110</v>
      </c>
      <c r="D410" s="1" t="s">
        <v>1111</v>
      </c>
      <c r="E410" s="1" t="s">
        <v>1112</v>
      </c>
      <c r="F410" s="1">
        <v>220</v>
      </c>
      <c r="G410" s="1" t="str">
        <f t="shared" si="29"/>
        <v>Transmission</v>
      </c>
      <c r="H410" s="1" t="s">
        <v>14</v>
      </c>
      <c r="I410" s="1" t="s">
        <v>15</v>
      </c>
      <c r="J410" s="7" t="s">
        <v>1113</v>
      </c>
      <c r="K410" s="1">
        <v>4.38</v>
      </c>
      <c r="L410" s="1" t="s">
        <v>1053</v>
      </c>
      <c r="M410" s="1" t="s">
        <v>1114</v>
      </c>
      <c r="N410" s="1" t="s">
        <v>156</v>
      </c>
      <c r="O410" s="1" t="str">
        <f t="shared" si="31"/>
        <v>High</v>
      </c>
      <c r="P410" s="1" t="str">
        <f t="shared" si="30"/>
        <v>Permanent</v>
      </c>
    </row>
    <row r="411" spans="1:16" x14ac:dyDescent="0.3">
      <c r="A411" s="7" t="s">
        <v>1092</v>
      </c>
      <c r="B411" s="12" t="s">
        <v>1093</v>
      </c>
      <c r="C411" s="1" t="s">
        <v>1110</v>
      </c>
      <c r="D411" s="1" t="s">
        <v>1115</v>
      </c>
      <c r="E411" s="1" t="s">
        <v>1116</v>
      </c>
      <c r="F411" s="1">
        <v>132</v>
      </c>
      <c r="G411" s="1" t="str">
        <f t="shared" si="29"/>
        <v>Transmission</v>
      </c>
      <c r="H411" s="1" t="s">
        <v>14</v>
      </c>
      <c r="I411" s="1" t="s">
        <v>15</v>
      </c>
      <c r="J411" s="7" t="s">
        <v>1117</v>
      </c>
      <c r="K411" s="1">
        <v>2.37</v>
      </c>
      <c r="L411" s="1" t="s">
        <v>1021</v>
      </c>
      <c r="M411" s="1" t="s">
        <v>1114</v>
      </c>
      <c r="N411" s="1" t="s">
        <v>156</v>
      </c>
      <c r="O411" s="1" t="str">
        <f t="shared" si="31"/>
        <v>High</v>
      </c>
      <c r="P411" s="1" t="str">
        <f t="shared" si="30"/>
        <v>Permanent</v>
      </c>
    </row>
    <row r="412" spans="1:16" x14ac:dyDescent="0.3">
      <c r="A412" s="7" t="s">
        <v>1092</v>
      </c>
      <c r="B412" s="12" t="s">
        <v>1093</v>
      </c>
      <c r="C412" s="1" t="s">
        <v>1110</v>
      </c>
      <c r="D412" s="1" t="s">
        <v>1118</v>
      </c>
      <c r="E412" s="1" t="s">
        <v>1119</v>
      </c>
      <c r="F412" s="1">
        <v>132</v>
      </c>
      <c r="G412" s="1" t="str">
        <f t="shared" si="29"/>
        <v>Transmission</v>
      </c>
      <c r="H412" s="1" t="s">
        <v>14</v>
      </c>
      <c r="I412" s="1" t="s">
        <v>15</v>
      </c>
      <c r="J412" s="7" t="s">
        <v>1117</v>
      </c>
      <c r="K412" s="1">
        <v>2.37</v>
      </c>
      <c r="L412" s="1" t="s">
        <v>1053</v>
      </c>
      <c r="M412" s="1" t="s">
        <v>1120</v>
      </c>
      <c r="N412" s="1" t="s">
        <v>156</v>
      </c>
      <c r="O412" s="1" t="str">
        <f t="shared" si="31"/>
        <v>High</v>
      </c>
      <c r="P412" s="1" t="str">
        <f t="shared" si="30"/>
        <v>Permanent</v>
      </c>
    </row>
    <row r="413" spans="1:16" x14ac:dyDescent="0.3">
      <c r="A413" s="7" t="s">
        <v>1092</v>
      </c>
      <c r="B413" s="12" t="s">
        <v>1093</v>
      </c>
      <c r="C413" s="1" t="s">
        <v>1110</v>
      </c>
      <c r="D413" s="1" t="s">
        <v>126</v>
      </c>
      <c r="E413" s="1" t="s">
        <v>1121</v>
      </c>
      <c r="F413" s="1">
        <v>132</v>
      </c>
      <c r="G413" s="1" t="str">
        <f t="shared" si="29"/>
        <v>Transmission</v>
      </c>
      <c r="H413" s="1" t="s">
        <v>14</v>
      </c>
      <c r="I413" s="1" t="s">
        <v>15</v>
      </c>
      <c r="J413" s="7" t="s">
        <v>1122</v>
      </c>
      <c r="K413" s="1">
        <v>2.42</v>
      </c>
      <c r="L413" s="1" t="s">
        <v>1123</v>
      </c>
      <c r="M413" s="1" t="s">
        <v>374</v>
      </c>
      <c r="N413" s="1" t="s">
        <v>156</v>
      </c>
      <c r="O413" s="1" t="str">
        <f t="shared" si="31"/>
        <v>High</v>
      </c>
      <c r="P413" s="1" t="str">
        <f t="shared" si="30"/>
        <v>Permanent</v>
      </c>
    </row>
    <row r="414" spans="1:16" x14ac:dyDescent="0.3">
      <c r="A414" s="7" t="s">
        <v>1092</v>
      </c>
      <c r="B414" s="12" t="s">
        <v>1093</v>
      </c>
      <c r="C414" s="1" t="s">
        <v>1110</v>
      </c>
      <c r="D414" s="1" t="s">
        <v>1002</v>
      </c>
      <c r="E414" s="1" t="s">
        <v>1124</v>
      </c>
      <c r="F414" s="1">
        <v>132</v>
      </c>
      <c r="G414" s="1" t="str">
        <f t="shared" si="29"/>
        <v>Transmission</v>
      </c>
      <c r="H414" s="1" t="s">
        <v>14</v>
      </c>
      <c r="I414" s="1" t="s">
        <v>15</v>
      </c>
      <c r="J414" s="7" t="s">
        <v>1125</v>
      </c>
      <c r="K414" s="1">
        <v>2.13</v>
      </c>
      <c r="L414" s="1" t="s">
        <v>1123</v>
      </c>
      <c r="M414" s="1" t="s">
        <v>1126</v>
      </c>
      <c r="N414" s="1" t="s">
        <v>156</v>
      </c>
      <c r="O414" s="1" t="str">
        <f t="shared" si="31"/>
        <v>High</v>
      </c>
      <c r="P414" s="1" t="str">
        <f t="shared" si="30"/>
        <v>Permanent</v>
      </c>
    </row>
    <row r="415" spans="1:16" x14ac:dyDescent="0.3">
      <c r="A415" s="7" t="s">
        <v>1092</v>
      </c>
      <c r="B415" s="12" t="s">
        <v>1093</v>
      </c>
      <c r="C415" s="1" t="s">
        <v>1110</v>
      </c>
      <c r="D415" s="1" t="s">
        <v>1127</v>
      </c>
      <c r="E415" s="1" t="s">
        <v>1128</v>
      </c>
      <c r="F415" s="1">
        <v>132</v>
      </c>
      <c r="G415" s="1" t="str">
        <f t="shared" si="29"/>
        <v>Transmission</v>
      </c>
      <c r="H415" s="1" t="s">
        <v>14</v>
      </c>
      <c r="I415" s="1" t="s">
        <v>15</v>
      </c>
      <c r="J415" s="7" t="s">
        <v>16</v>
      </c>
      <c r="K415" s="1">
        <v>0</v>
      </c>
      <c r="L415" s="1" t="s">
        <v>17</v>
      </c>
      <c r="M415" s="1" t="s">
        <v>1043</v>
      </c>
      <c r="N415" s="1" t="s">
        <v>156</v>
      </c>
      <c r="O415" s="1" t="str">
        <f t="shared" si="31"/>
        <v>Low</v>
      </c>
      <c r="P415" s="1" t="str">
        <f t="shared" si="30"/>
        <v>Transient</v>
      </c>
    </row>
    <row r="416" spans="1:16" x14ac:dyDescent="0.3">
      <c r="A416" s="7" t="s">
        <v>1092</v>
      </c>
      <c r="B416" s="12" t="s">
        <v>1093</v>
      </c>
      <c r="C416" s="1" t="s">
        <v>1129</v>
      </c>
      <c r="D416" s="1" t="s">
        <v>1134</v>
      </c>
      <c r="E416" s="1" t="s">
        <v>1135</v>
      </c>
      <c r="F416" s="1">
        <v>132</v>
      </c>
      <c r="G416" s="1" t="str">
        <f t="shared" si="29"/>
        <v>Transmission</v>
      </c>
      <c r="H416" s="1" t="s">
        <v>14</v>
      </c>
      <c r="I416" s="1" t="s">
        <v>15</v>
      </c>
      <c r="J416" s="7" t="s">
        <v>1136</v>
      </c>
      <c r="K416" s="1">
        <v>2.72</v>
      </c>
      <c r="L416" s="1" t="s">
        <v>1137</v>
      </c>
      <c r="M416" s="1" t="s">
        <v>1114</v>
      </c>
      <c r="N416" s="1" t="s">
        <v>156</v>
      </c>
      <c r="O416" s="1" t="str">
        <f t="shared" si="31"/>
        <v>High</v>
      </c>
      <c r="P416" s="1" t="str">
        <f t="shared" si="30"/>
        <v>Permanent</v>
      </c>
    </row>
    <row r="417" spans="1:16" x14ac:dyDescent="0.3">
      <c r="A417" s="7" t="s">
        <v>1092</v>
      </c>
      <c r="B417" s="12" t="s">
        <v>1093</v>
      </c>
      <c r="C417" s="1" t="s">
        <v>1129</v>
      </c>
      <c r="D417" s="1" t="s">
        <v>1138</v>
      </c>
      <c r="E417" s="1" t="s">
        <v>1139</v>
      </c>
      <c r="F417" s="1">
        <v>132</v>
      </c>
      <c r="G417" s="1" t="str">
        <f t="shared" si="29"/>
        <v>Transmission</v>
      </c>
      <c r="H417" s="1" t="s">
        <v>14</v>
      </c>
      <c r="I417" s="1" t="s">
        <v>15</v>
      </c>
      <c r="J417" s="7" t="s">
        <v>1140</v>
      </c>
      <c r="K417" s="1">
        <v>3.23</v>
      </c>
      <c r="L417" s="1" t="s">
        <v>1137</v>
      </c>
      <c r="M417" s="1" t="s">
        <v>382</v>
      </c>
      <c r="N417" s="1" t="s">
        <v>156</v>
      </c>
      <c r="O417" s="1" t="str">
        <f t="shared" si="31"/>
        <v>High</v>
      </c>
      <c r="P417" s="1" t="str">
        <f t="shared" si="30"/>
        <v>Permanent</v>
      </c>
    </row>
    <row r="418" spans="1:16" x14ac:dyDescent="0.3">
      <c r="A418" s="7" t="s">
        <v>1092</v>
      </c>
      <c r="B418" s="12" t="s">
        <v>1093</v>
      </c>
      <c r="C418" s="1" t="s">
        <v>1129</v>
      </c>
      <c r="D418" s="1" t="s">
        <v>1141</v>
      </c>
      <c r="E418" s="1" t="s">
        <v>1142</v>
      </c>
      <c r="F418" s="1">
        <v>132</v>
      </c>
      <c r="G418" s="1" t="str">
        <f t="shared" si="29"/>
        <v>Transmission</v>
      </c>
      <c r="H418" s="1" t="s">
        <v>14</v>
      </c>
      <c r="I418" s="1" t="s">
        <v>15</v>
      </c>
      <c r="J418" s="7" t="s">
        <v>1143</v>
      </c>
      <c r="K418" s="1">
        <v>3.27</v>
      </c>
      <c r="L418" s="1" t="s">
        <v>1137</v>
      </c>
      <c r="M418" s="1" t="s">
        <v>382</v>
      </c>
      <c r="N418" s="1" t="s">
        <v>156</v>
      </c>
      <c r="O418" s="1" t="str">
        <f t="shared" si="31"/>
        <v>High</v>
      </c>
      <c r="P418" s="1" t="str">
        <f t="shared" si="30"/>
        <v>Permanent</v>
      </c>
    </row>
    <row r="419" spans="1:16" x14ac:dyDescent="0.3">
      <c r="A419" s="7" t="s">
        <v>1149</v>
      </c>
      <c r="B419" s="12" t="s">
        <v>1150</v>
      </c>
      <c r="C419" s="1" t="s">
        <v>1151</v>
      </c>
      <c r="D419" s="1" t="s">
        <v>1152</v>
      </c>
      <c r="E419" s="1" t="s">
        <v>1153</v>
      </c>
      <c r="F419" s="1">
        <v>132</v>
      </c>
      <c r="G419" s="1" t="str">
        <f t="shared" si="29"/>
        <v>Transmission</v>
      </c>
      <c r="H419" s="1" t="s">
        <v>14</v>
      </c>
      <c r="I419" s="1" t="s">
        <v>1088</v>
      </c>
      <c r="J419" s="7" t="s">
        <v>1154</v>
      </c>
      <c r="K419" s="1">
        <v>0.93</v>
      </c>
      <c r="L419" s="1" t="s">
        <v>1155</v>
      </c>
      <c r="M419" s="1" t="s">
        <v>1156</v>
      </c>
      <c r="N419" s="1" t="s">
        <v>156</v>
      </c>
      <c r="O419" s="1" t="str">
        <f t="shared" si="31"/>
        <v>High</v>
      </c>
      <c r="P419" s="1" t="str">
        <f t="shared" si="30"/>
        <v>Permanent</v>
      </c>
    </row>
    <row r="420" spans="1:16" x14ac:dyDescent="0.3">
      <c r="A420" s="7" t="s">
        <v>1157</v>
      </c>
      <c r="B420" s="12" t="s">
        <v>1158</v>
      </c>
      <c r="C420" s="1" t="s">
        <v>1159</v>
      </c>
      <c r="D420" s="1" t="s">
        <v>1160</v>
      </c>
      <c r="E420" s="1" t="s">
        <v>679</v>
      </c>
      <c r="F420" s="1">
        <v>132</v>
      </c>
      <c r="G420" s="1" t="str">
        <f t="shared" si="29"/>
        <v>Transmission</v>
      </c>
      <c r="H420" s="1" t="s">
        <v>1161</v>
      </c>
      <c r="I420" s="1" t="s">
        <v>15</v>
      </c>
      <c r="J420" s="7" t="s">
        <v>16</v>
      </c>
      <c r="K420" s="1">
        <v>0</v>
      </c>
      <c r="L420" s="1" t="s">
        <v>680</v>
      </c>
      <c r="M420" s="1" t="s">
        <v>1162</v>
      </c>
      <c r="N420" s="1" t="s">
        <v>156</v>
      </c>
      <c r="O420" s="1" t="str">
        <f t="shared" si="31"/>
        <v>Low</v>
      </c>
      <c r="P420" s="1" t="str">
        <f t="shared" si="30"/>
        <v>Transient</v>
      </c>
    </row>
    <row r="421" spans="1:16" x14ac:dyDescent="0.3">
      <c r="A421" s="7" t="s">
        <v>1157</v>
      </c>
      <c r="B421" s="12" t="s">
        <v>1158</v>
      </c>
      <c r="C421" s="1" t="s">
        <v>1159</v>
      </c>
      <c r="D421" s="1" t="s">
        <v>1160</v>
      </c>
      <c r="E421" s="1" t="s">
        <v>681</v>
      </c>
      <c r="F421" s="1">
        <v>132</v>
      </c>
      <c r="G421" s="1" t="str">
        <f t="shared" si="29"/>
        <v>Transmission</v>
      </c>
      <c r="H421" s="1" t="s">
        <v>1161</v>
      </c>
      <c r="I421" s="1" t="s">
        <v>15</v>
      </c>
      <c r="J421" s="7" t="s">
        <v>682</v>
      </c>
      <c r="K421" s="1">
        <v>9.27</v>
      </c>
      <c r="L421" s="1" t="s">
        <v>360</v>
      </c>
      <c r="M421" s="1" t="s">
        <v>1163</v>
      </c>
      <c r="N421" s="1" t="s">
        <v>156</v>
      </c>
      <c r="O421" s="1" t="str">
        <f t="shared" si="31"/>
        <v>High</v>
      </c>
      <c r="P421" s="1" t="str">
        <f t="shared" si="30"/>
        <v>Permanent</v>
      </c>
    </row>
    <row r="422" spans="1:16" x14ac:dyDescent="0.3">
      <c r="A422" s="7" t="s">
        <v>1164</v>
      </c>
      <c r="B422" s="12" t="s">
        <v>754</v>
      </c>
      <c r="C422" s="1" t="s">
        <v>1165</v>
      </c>
      <c r="D422" s="1" t="s">
        <v>1095</v>
      </c>
      <c r="E422" s="1" t="s">
        <v>1166</v>
      </c>
      <c r="F422" s="1">
        <v>400</v>
      </c>
      <c r="G422" s="1" t="str">
        <f t="shared" si="29"/>
        <v>Transmission</v>
      </c>
      <c r="H422" s="1" t="s">
        <v>313</v>
      </c>
      <c r="I422" s="1" t="s">
        <v>15</v>
      </c>
      <c r="J422" s="7" t="s">
        <v>984</v>
      </c>
      <c r="K422" s="1">
        <v>1.28</v>
      </c>
      <c r="L422" s="1" t="s">
        <v>109</v>
      </c>
      <c r="M422" s="1" t="s">
        <v>382</v>
      </c>
      <c r="N422" s="1" t="s">
        <v>156</v>
      </c>
      <c r="O422" s="1" t="str">
        <f t="shared" si="31"/>
        <v>High</v>
      </c>
      <c r="P422" s="1" t="str">
        <f t="shared" si="30"/>
        <v>Permanent</v>
      </c>
    </row>
    <row r="423" spans="1:16" x14ac:dyDescent="0.3">
      <c r="A423" s="7" t="s">
        <v>1164</v>
      </c>
      <c r="B423" s="12" t="s">
        <v>754</v>
      </c>
      <c r="C423" s="1" t="s">
        <v>1165</v>
      </c>
      <c r="D423" s="1" t="s">
        <v>1095</v>
      </c>
      <c r="E423" s="1" t="s">
        <v>1167</v>
      </c>
      <c r="F423" s="1">
        <v>400</v>
      </c>
      <c r="G423" s="1" t="str">
        <f t="shared" si="29"/>
        <v>Transmission</v>
      </c>
      <c r="H423" s="1" t="s">
        <v>313</v>
      </c>
      <c r="I423" s="1" t="s">
        <v>15</v>
      </c>
      <c r="J423" s="7" t="s">
        <v>984</v>
      </c>
      <c r="K423" s="1">
        <v>1.28</v>
      </c>
      <c r="L423" s="1" t="s">
        <v>1027</v>
      </c>
      <c r="M423" s="1" t="s">
        <v>382</v>
      </c>
      <c r="N423" s="1" t="s">
        <v>156</v>
      </c>
      <c r="O423" s="1" t="str">
        <f t="shared" si="31"/>
        <v>High</v>
      </c>
      <c r="P423" s="1" t="str">
        <f t="shared" si="30"/>
        <v>Permanent</v>
      </c>
    </row>
    <row r="424" spans="1:16" x14ac:dyDescent="0.3">
      <c r="A424" s="7" t="s">
        <v>1186</v>
      </c>
      <c r="B424" s="12" t="s">
        <v>1187</v>
      </c>
      <c r="C424" s="1" t="s">
        <v>1188</v>
      </c>
      <c r="D424" s="1" t="s">
        <v>1095</v>
      </c>
      <c r="E424" s="1" t="s">
        <v>1189</v>
      </c>
      <c r="F424" s="1">
        <v>400</v>
      </c>
      <c r="G424" s="1" t="str">
        <f t="shared" si="29"/>
        <v>Transmission</v>
      </c>
      <c r="H424" s="1" t="s">
        <v>37</v>
      </c>
      <c r="I424" s="1" t="s">
        <v>15</v>
      </c>
      <c r="J424" s="7" t="s">
        <v>1190</v>
      </c>
      <c r="K424" s="1">
        <v>1.27</v>
      </c>
      <c r="L424" s="1" t="s">
        <v>17</v>
      </c>
      <c r="M424" s="1" t="s">
        <v>1191</v>
      </c>
      <c r="N424" s="1" t="s">
        <v>367</v>
      </c>
      <c r="O424" s="1" t="str">
        <f t="shared" si="31"/>
        <v>High</v>
      </c>
      <c r="P424" s="1" t="str">
        <f t="shared" si="30"/>
        <v>Permanent</v>
      </c>
    </row>
    <row r="425" spans="1:16" x14ac:dyDescent="0.3">
      <c r="A425" s="7" t="s">
        <v>1186</v>
      </c>
      <c r="B425" s="12" t="s">
        <v>1187</v>
      </c>
      <c r="C425" s="1" t="s">
        <v>1188</v>
      </c>
      <c r="D425" s="1" t="s">
        <v>1095</v>
      </c>
      <c r="E425" s="1" t="s">
        <v>1192</v>
      </c>
      <c r="F425" s="1">
        <v>400</v>
      </c>
      <c r="G425" s="1" t="str">
        <f t="shared" si="29"/>
        <v>Transmission</v>
      </c>
      <c r="H425" s="1" t="s">
        <v>37</v>
      </c>
      <c r="I425" s="1" t="s">
        <v>15</v>
      </c>
      <c r="J425" s="7" t="s">
        <v>1190</v>
      </c>
      <c r="K425" s="1">
        <v>1.27</v>
      </c>
      <c r="L425" s="1" t="s">
        <v>1027</v>
      </c>
      <c r="M425" s="1" t="s">
        <v>1191</v>
      </c>
      <c r="N425" s="1" t="s">
        <v>367</v>
      </c>
      <c r="O425" s="1" t="str">
        <f t="shared" si="31"/>
        <v>High</v>
      </c>
      <c r="P425" s="1" t="str">
        <f t="shared" si="30"/>
        <v>Permanent</v>
      </c>
    </row>
    <row r="426" spans="1:16" x14ac:dyDescent="0.3">
      <c r="A426" s="7" t="s">
        <v>1193</v>
      </c>
      <c r="B426" s="12" t="s">
        <v>1194</v>
      </c>
      <c r="C426" s="1" t="s">
        <v>1195</v>
      </c>
      <c r="D426" s="1" t="s">
        <v>1095</v>
      </c>
      <c r="E426" s="1" t="s">
        <v>1189</v>
      </c>
      <c r="F426" s="1">
        <v>400</v>
      </c>
      <c r="G426" s="1" t="str">
        <f t="shared" si="29"/>
        <v>Transmission</v>
      </c>
      <c r="H426" s="1" t="s">
        <v>37</v>
      </c>
      <c r="I426" s="1" t="s">
        <v>15</v>
      </c>
      <c r="J426" s="7" t="s">
        <v>1196</v>
      </c>
      <c r="K426" s="1">
        <v>1.67</v>
      </c>
      <c r="L426" s="1" t="s">
        <v>17</v>
      </c>
      <c r="M426" s="1" t="s">
        <v>1191</v>
      </c>
      <c r="N426" s="1" t="s">
        <v>367</v>
      </c>
      <c r="O426" s="1" t="str">
        <f t="shared" si="31"/>
        <v>High</v>
      </c>
      <c r="P426" s="1" t="str">
        <f t="shared" si="30"/>
        <v>Permanent</v>
      </c>
    </row>
    <row r="427" spans="1:16" x14ac:dyDescent="0.3">
      <c r="A427" s="7" t="s">
        <v>1193</v>
      </c>
      <c r="B427" s="12" t="s">
        <v>1194</v>
      </c>
      <c r="C427" s="1" t="s">
        <v>1195</v>
      </c>
      <c r="D427" s="1" t="s">
        <v>1095</v>
      </c>
      <c r="E427" s="1" t="s">
        <v>1192</v>
      </c>
      <c r="F427" s="1">
        <v>400</v>
      </c>
      <c r="G427" s="1" t="str">
        <f t="shared" ref="G427:G484" si="32">IF(F427&gt;=132,"Transmission",IF(F427&gt;=66,"Sub-Transmission","Distribution"))</f>
        <v>Transmission</v>
      </c>
      <c r="H427" s="1" t="s">
        <v>37</v>
      </c>
      <c r="I427" s="1" t="s">
        <v>15</v>
      </c>
      <c r="J427" s="7" t="s">
        <v>1197</v>
      </c>
      <c r="K427" s="1">
        <v>2.62</v>
      </c>
      <c r="L427" s="1" t="s">
        <v>415</v>
      </c>
      <c r="M427" s="1" t="s">
        <v>1191</v>
      </c>
      <c r="N427" s="1" t="s">
        <v>367</v>
      </c>
      <c r="O427" s="1" t="str">
        <f t="shared" si="31"/>
        <v>High</v>
      </c>
      <c r="P427" s="1" t="str">
        <f t="shared" ref="P427:P484" si="33">IF(O427="Low","Transient",IF(O427="Medium","Sustained",IF(O427="High","Permanent")))</f>
        <v>Permanent</v>
      </c>
    </row>
    <row r="428" spans="1:16" x14ac:dyDescent="0.3">
      <c r="A428" s="7" t="s">
        <v>1198</v>
      </c>
      <c r="B428" s="12" t="s">
        <v>1199</v>
      </c>
      <c r="C428" s="1" t="s">
        <v>1200</v>
      </c>
      <c r="D428" s="1" t="s">
        <v>1095</v>
      </c>
      <c r="E428" s="1" t="s">
        <v>1189</v>
      </c>
      <c r="F428" s="1">
        <v>400</v>
      </c>
      <c r="G428" s="1" t="str">
        <f t="shared" si="32"/>
        <v>Transmission</v>
      </c>
      <c r="H428" s="1" t="s">
        <v>37</v>
      </c>
      <c r="I428" s="1" t="s">
        <v>15</v>
      </c>
      <c r="J428" s="7" t="s">
        <v>1196</v>
      </c>
      <c r="K428" s="1">
        <v>2.4</v>
      </c>
      <c r="L428" s="1" t="s">
        <v>17</v>
      </c>
      <c r="M428" s="1" t="s">
        <v>1191</v>
      </c>
      <c r="N428" s="1" t="s">
        <v>367</v>
      </c>
      <c r="O428" s="1" t="str">
        <f t="shared" si="31"/>
        <v>High</v>
      </c>
      <c r="P428" s="1" t="str">
        <f t="shared" si="33"/>
        <v>Permanent</v>
      </c>
    </row>
    <row r="429" spans="1:16" x14ac:dyDescent="0.3">
      <c r="A429" s="7" t="s">
        <v>1198</v>
      </c>
      <c r="B429" s="12" t="s">
        <v>1199</v>
      </c>
      <c r="C429" s="1" t="s">
        <v>1200</v>
      </c>
      <c r="D429" s="1" t="s">
        <v>1095</v>
      </c>
      <c r="E429" s="1" t="s">
        <v>1192</v>
      </c>
      <c r="F429" s="1">
        <v>400</v>
      </c>
      <c r="G429" s="1" t="str">
        <f t="shared" si="32"/>
        <v>Transmission</v>
      </c>
      <c r="H429" s="1" t="s">
        <v>37</v>
      </c>
      <c r="I429" s="1" t="s">
        <v>15</v>
      </c>
      <c r="J429" s="7" t="s">
        <v>1197</v>
      </c>
      <c r="K429" s="1">
        <v>3.35</v>
      </c>
      <c r="L429" s="1" t="s">
        <v>415</v>
      </c>
      <c r="M429" s="1" t="s">
        <v>1191</v>
      </c>
      <c r="N429" s="1" t="s">
        <v>367</v>
      </c>
      <c r="O429" s="1" t="str">
        <f t="shared" si="31"/>
        <v>High</v>
      </c>
      <c r="P429" s="1" t="str">
        <f t="shared" si="33"/>
        <v>Permanent</v>
      </c>
    </row>
    <row r="430" spans="1:16" x14ac:dyDescent="0.3">
      <c r="A430" s="7" t="s">
        <v>1210</v>
      </c>
      <c r="B430" s="12" t="s">
        <v>213</v>
      </c>
      <c r="C430" s="1" t="s">
        <v>1211</v>
      </c>
      <c r="D430" s="1" t="s">
        <v>1212</v>
      </c>
      <c r="E430" s="1" t="s">
        <v>352</v>
      </c>
      <c r="F430" s="1">
        <v>400</v>
      </c>
      <c r="G430" s="1" t="str">
        <f t="shared" si="32"/>
        <v>Transmission</v>
      </c>
      <c r="H430" s="1" t="s">
        <v>47</v>
      </c>
      <c r="I430" s="1" t="s">
        <v>15</v>
      </c>
      <c r="J430" s="7" t="s">
        <v>1213</v>
      </c>
      <c r="K430" s="1">
        <v>1.1499999999999999</v>
      </c>
      <c r="L430" s="1" t="s">
        <v>832</v>
      </c>
      <c r="M430" s="1" t="s">
        <v>382</v>
      </c>
      <c r="N430" s="1" t="s">
        <v>367</v>
      </c>
      <c r="O430" s="1" t="str">
        <f t="shared" si="31"/>
        <v>High</v>
      </c>
      <c r="P430" s="1" t="str">
        <f t="shared" si="33"/>
        <v>Permanent</v>
      </c>
    </row>
    <row r="431" spans="1:16" x14ac:dyDescent="0.3">
      <c r="A431" s="7" t="s">
        <v>1210</v>
      </c>
      <c r="B431" s="12" t="s">
        <v>213</v>
      </c>
      <c r="C431" s="1" t="s">
        <v>1211</v>
      </c>
      <c r="D431" s="1" t="s">
        <v>1212</v>
      </c>
      <c r="E431" s="1" t="s">
        <v>355</v>
      </c>
      <c r="F431" s="1">
        <v>400</v>
      </c>
      <c r="G431" s="1" t="str">
        <f t="shared" si="32"/>
        <v>Transmission</v>
      </c>
      <c r="H431" s="1" t="s">
        <v>47</v>
      </c>
      <c r="I431" s="1" t="s">
        <v>15</v>
      </c>
      <c r="J431" s="7" t="s">
        <v>955</v>
      </c>
      <c r="K431" s="1">
        <v>1.17</v>
      </c>
      <c r="L431" s="1" t="s">
        <v>356</v>
      </c>
      <c r="M431" s="1" t="s">
        <v>382</v>
      </c>
      <c r="N431" s="1" t="s">
        <v>367</v>
      </c>
      <c r="O431" s="1" t="str">
        <f t="shared" si="31"/>
        <v>High</v>
      </c>
      <c r="P431" s="1" t="str">
        <f t="shared" si="33"/>
        <v>Permanent</v>
      </c>
    </row>
    <row r="432" spans="1:16" x14ac:dyDescent="0.3">
      <c r="A432" s="7" t="s">
        <v>1214</v>
      </c>
      <c r="B432" s="12" t="s">
        <v>1215</v>
      </c>
      <c r="C432" s="1" t="s">
        <v>1216</v>
      </c>
      <c r="D432" s="1" t="s">
        <v>724</v>
      </c>
      <c r="E432" s="1" t="s">
        <v>1221</v>
      </c>
      <c r="F432" s="1">
        <v>132</v>
      </c>
      <c r="G432" s="1" t="str">
        <f t="shared" si="32"/>
        <v>Transmission</v>
      </c>
      <c r="H432" s="1" t="s">
        <v>14</v>
      </c>
      <c r="I432" s="1" t="s">
        <v>15</v>
      </c>
      <c r="J432" s="7" t="s">
        <v>1218</v>
      </c>
      <c r="K432" s="1">
        <v>0.77</v>
      </c>
      <c r="L432" s="1" t="s">
        <v>1219</v>
      </c>
      <c r="M432" s="1" t="s">
        <v>1222</v>
      </c>
      <c r="N432" s="1" t="s">
        <v>367</v>
      </c>
      <c r="O432" s="1" t="str">
        <f t="shared" si="31"/>
        <v>High</v>
      </c>
      <c r="P432" s="1" t="str">
        <f t="shared" si="33"/>
        <v>Permanent</v>
      </c>
    </row>
    <row r="433" spans="1:16" x14ac:dyDescent="0.3">
      <c r="A433" s="7" t="s">
        <v>1279</v>
      </c>
      <c r="B433" s="12" t="s">
        <v>1280</v>
      </c>
      <c r="C433" s="1" t="s">
        <v>1281</v>
      </c>
      <c r="D433" s="1" t="s">
        <v>1141</v>
      </c>
      <c r="E433" s="1" t="s">
        <v>1282</v>
      </c>
      <c r="F433" s="1">
        <v>132</v>
      </c>
      <c r="G433" s="1" t="str">
        <f t="shared" si="32"/>
        <v>Transmission</v>
      </c>
      <c r="H433" s="1" t="s">
        <v>14</v>
      </c>
      <c r="I433" s="1" t="s">
        <v>64</v>
      </c>
      <c r="J433" s="7" t="s">
        <v>476</v>
      </c>
      <c r="K433" s="1">
        <v>7</v>
      </c>
      <c r="L433" s="1" t="s">
        <v>579</v>
      </c>
      <c r="M433" s="1" t="s">
        <v>382</v>
      </c>
      <c r="N433" s="1" t="s">
        <v>483</v>
      </c>
      <c r="O433" s="1" t="str">
        <f t="shared" si="31"/>
        <v>High</v>
      </c>
      <c r="P433" s="1" t="str">
        <f t="shared" si="33"/>
        <v>Permanent</v>
      </c>
    </row>
    <row r="434" spans="1:16" x14ac:dyDescent="0.3">
      <c r="A434" s="7" t="s">
        <v>1279</v>
      </c>
      <c r="B434" s="12" t="s">
        <v>1280</v>
      </c>
      <c r="C434" s="1" t="s">
        <v>1281</v>
      </c>
      <c r="D434" s="1" t="s">
        <v>1141</v>
      </c>
      <c r="E434" s="1" t="s">
        <v>1142</v>
      </c>
      <c r="F434" s="1">
        <v>132</v>
      </c>
      <c r="G434" s="1" t="str">
        <f t="shared" si="32"/>
        <v>Transmission</v>
      </c>
      <c r="H434" s="1" t="s">
        <v>14</v>
      </c>
      <c r="I434" s="1" t="s">
        <v>64</v>
      </c>
      <c r="J434" s="7" t="s">
        <v>16</v>
      </c>
      <c r="K434" s="1">
        <v>0</v>
      </c>
      <c r="L434" s="1" t="s">
        <v>579</v>
      </c>
      <c r="M434" s="1" t="s">
        <v>1283</v>
      </c>
      <c r="N434" s="1" t="s">
        <v>483</v>
      </c>
      <c r="O434" s="1" t="str">
        <f t="shared" si="31"/>
        <v>Low</v>
      </c>
      <c r="P434" s="1" t="str">
        <f t="shared" si="33"/>
        <v>Transient</v>
      </c>
    </row>
    <row r="435" spans="1:16" x14ac:dyDescent="0.3">
      <c r="A435" s="7" t="s">
        <v>1294</v>
      </c>
      <c r="B435" s="12" t="s">
        <v>1295</v>
      </c>
      <c r="C435" s="1" t="s">
        <v>1296</v>
      </c>
      <c r="D435" s="1" t="s">
        <v>1095</v>
      </c>
      <c r="E435" s="1" t="s">
        <v>1297</v>
      </c>
      <c r="F435" s="1">
        <v>400</v>
      </c>
      <c r="G435" s="1" t="str">
        <f t="shared" si="32"/>
        <v>Transmission</v>
      </c>
      <c r="H435" s="1" t="s">
        <v>313</v>
      </c>
      <c r="I435" s="1" t="s">
        <v>15</v>
      </c>
      <c r="J435" s="7" t="s">
        <v>1298</v>
      </c>
      <c r="K435" s="1">
        <v>0.05</v>
      </c>
      <c r="L435" s="1" t="s">
        <v>109</v>
      </c>
      <c r="M435" s="1" t="s">
        <v>1299</v>
      </c>
      <c r="N435" s="1" t="s">
        <v>483</v>
      </c>
      <c r="O435" s="1" t="str">
        <f t="shared" si="31"/>
        <v>Low</v>
      </c>
      <c r="P435" s="1" t="str">
        <f t="shared" si="33"/>
        <v>Transient</v>
      </c>
    </row>
    <row r="436" spans="1:16" x14ac:dyDescent="0.3">
      <c r="A436" s="7" t="s">
        <v>1294</v>
      </c>
      <c r="B436" s="12" t="s">
        <v>1295</v>
      </c>
      <c r="C436" s="1" t="s">
        <v>1296</v>
      </c>
      <c r="D436" s="1" t="s">
        <v>1095</v>
      </c>
      <c r="E436" s="1" t="s">
        <v>1300</v>
      </c>
      <c r="F436" s="1">
        <v>400</v>
      </c>
      <c r="G436" s="1" t="str">
        <f t="shared" si="32"/>
        <v>Transmission</v>
      </c>
      <c r="H436" s="1" t="s">
        <v>313</v>
      </c>
      <c r="I436" s="1" t="s">
        <v>15</v>
      </c>
      <c r="J436" s="7" t="s">
        <v>1298</v>
      </c>
      <c r="K436" s="1">
        <v>0.05</v>
      </c>
      <c r="L436" s="1" t="s">
        <v>1090</v>
      </c>
      <c r="M436" s="1" t="s">
        <v>382</v>
      </c>
      <c r="N436" s="1" t="s">
        <v>483</v>
      </c>
      <c r="O436" s="1" t="str">
        <f t="shared" si="31"/>
        <v>Low</v>
      </c>
      <c r="P436" s="1" t="str">
        <f t="shared" si="33"/>
        <v>Transient</v>
      </c>
    </row>
    <row r="437" spans="1:16" x14ac:dyDescent="0.3">
      <c r="A437" s="7" t="s">
        <v>1303</v>
      </c>
      <c r="B437" s="12" t="s">
        <v>1304</v>
      </c>
      <c r="C437" s="1" t="s">
        <v>1305</v>
      </c>
      <c r="D437" s="1" t="s">
        <v>1306</v>
      </c>
      <c r="E437" s="1" t="s">
        <v>1307</v>
      </c>
      <c r="F437" s="1">
        <v>132</v>
      </c>
      <c r="G437" s="1" t="str">
        <f t="shared" si="32"/>
        <v>Transmission</v>
      </c>
      <c r="H437" s="1" t="s">
        <v>87</v>
      </c>
      <c r="I437" s="1" t="s">
        <v>15</v>
      </c>
      <c r="J437" s="7" t="s">
        <v>1308</v>
      </c>
      <c r="K437" s="1">
        <v>4.55</v>
      </c>
      <c r="L437" s="1" t="s">
        <v>43</v>
      </c>
      <c r="M437" s="1" t="s">
        <v>1309</v>
      </c>
      <c r="N437" s="1" t="s">
        <v>483</v>
      </c>
      <c r="O437" s="1" t="str">
        <f t="shared" si="31"/>
        <v>High</v>
      </c>
      <c r="P437" s="1" t="str">
        <f t="shared" si="33"/>
        <v>Permanent</v>
      </c>
    </row>
    <row r="438" spans="1:16" x14ac:dyDescent="0.3">
      <c r="A438" s="7" t="s">
        <v>1310</v>
      </c>
      <c r="B438" s="12" t="s">
        <v>1311</v>
      </c>
      <c r="C438" s="1" t="s">
        <v>1312</v>
      </c>
      <c r="D438" s="1" t="s">
        <v>973</v>
      </c>
      <c r="E438" s="1" t="s">
        <v>1313</v>
      </c>
      <c r="F438" s="1">
        <v>132</v>
      </c>
      <c r="G438" s="1" t="str">
        <f t="shared" si="32"/>
        <v>Transmission</v>
      </c>
      <c r="H438" s="1" t="s">
        <v>14</v>
      </c>
      <c r="I438" s="1" t="s">
        <v>15</v>
      </c>
      <c r="J438" s="7" t="s">
        <v>1314</v>
      </c>
      <c r="K438" s="1">
        <v>0.53</v>
      </c>
      <c r="L438" s="1" t="s">
        <v>1315</v>
      </c>
      <c r="M438" s="1" t="s">
        <v>382</v>
      </c>
      <c r="N438" s="1" t="s">
        <v>483</v>
      </c>
      <c r="O438" s="1" t="str">
        <f t="shared" si="31"/>
        <v>High</v>
      </c>
      <c r="P438" s="1" t="str">
        <f t="shared" si="33"/>
        <v>Permanent</v>
      </c>
    </row>
    <row r="439" spans="1:16" x14ac:dyDescent="0.3">
      <c r="A439" s="7" t="s">
        <v>1310</v>
      </c>
      <c r="B439" s="12" t="s">
        <v>1311</v>
      </c>
      <c r="C439" s="1" t="s">
        <v>1312</v>
      </c>
      <c r="D439" s="1" t="s">
        <v>973</v>
      </c>
      <c r="E439" s="1" t="s">
        <v>1316</v>
      </c>
      <c r="F439" s="1">
        <v>132</v>
      </c>
      <c r="G439" s="1" t="str">
        <f t="shared" si="32"/>
        <v>Transmission</v>
      </c>
      <c r="H439" s="1" t="s">
        <v>14</v>
      </c>
      <c r="I439" s="1" t="s">
        <v>15</v>
      </c>
      <c r="J439" s="7" t="s">
        <v>1317</v>
      </c>
      <c r="K439" s="1">
        <v>0.55000000000000004</v>
      </c>
      <c r="L439" s="1" t="s">
        <v>1318</v>
      </c>
      <c r="M439" s="1" t="s">
        <v>1043</v>
      </c>
      <c r="N439" s="1" t="s">
        <v>483</v>
      </c>
      <c r="O439" s="1" t="str">
        <f t="shared" si="31"/>
        <v>High</v>
      </c>
      <c r="P439" s="1" t="str">
        <f t="shared" si="33"/>
        <v>Permanent</v>
      </c>
    </row>
    <row r="440" spans="1:16" x14ac:dyDescent="0.3">
      <c r="A440" s="7" t="s">
        <v>1319</v>
      </c>
      <c r="B440" s="12" t="s">
        <v>1263</v>
      </c>
      <c r="C440" s="1" t="s">
        <v>1312</v>
      </c>
      <c r="D440" s="1" t="s">
        <v>1320</v>
      </c>
      <c r="E440" s="1" t="s">
        <v>1321</v>
      </c>
      <c r="F440" s="1">
        <v>400</v>
      </c>
      <c r="G440" s="1" t="str">
        <f t="shared" si="32"/>
        <v>Transmission</v>
      </c>
      <c r="H440" s="1" t="s">
        <v>21</v>
      </c>
      <c r="I440" s="1" t="s">
        <v>15</v>
      </c>
      <c r="J440" s="7" t="s">
        <v>1322</v>
      </c>
      <c r="K440" s="1">
        <v>1.28</v>
      </c>
      <c r="L440" s="1" t="s">
        <v>1027</v>
      </c>
      <c r="M440" s="1" t="s">
        <v>382</v>
      </c>
      <c r="N440" s="1" t="s">
        <v>483</v>
      </c>
      <c r="O440" s="1" t="str">
        <f t="shared" si="31"/>
        <v>High</v>
      </c>
      <c r="P440" s="1" t="str">
        <f t="shared" si="33"/>
        <v>Permanent</v>
      </c>
    </row>
    <row r="441" spans="1:16" x14ac:dyDescent="0.3">
      <c r="A441" s="7" t="s">
        <v>1319</v>
      </c>
      <c r="B441" s="12" t="s">
        <v>1263</v>
      </c>
      <c r="C441" s="1" t="s">
        <v>1312</v>
      </c>
      <c r="D441" s="1" t="s">
        <v>1320</v>
      </c>
      <c r="E441" s="1" t="s">
        <v>1323</v>
      </c>
      <c r="F441" s="1">
        <v>400</v>
      </c>
      <c r="G441" s="1" t="str">
        <f t="shared" si="32"/>
        <v>Transmission</v>
      </c>
      <c r="H441" s="1" t="s">
        <v>21</v>
      </c>
      <c r="I441" s="1" t="s">
        <v>15</v>
      </c>
      <c r="J441" s="7" t="s">
        <v>1322</v>
      </c>
      <c r="K441" s="1">
        <v>1.28</v>
      </c>
      <c r="L441" s="1" t="s">
        <v>415</v>
      </c>
      <c r="M441" s="1" t="s">
        <v>382</v>
      </c>
      <c r="N441" s="1" t="s">
        <v>483</v>
      </c>
      <c r="O441" s="1" t="str">
        <f t="shared" si="31"/>
        <v>High</v>
      </c>
      <c r="P441" s="1" t="str">
        <f t="shared" si="33"/>
        <v>Permanent</v>
      </c>
    </row>
    <row r="442" spans="1:16" x14ac:dyDescent="0.3">
      <c r="A442" s="7" t="s">
        <v>1334</v>
      </c>
      <c r="B442" s="12" t="s">
        <v>1335</v>
      </c>
      <c r="C442" s="1" t="s">
        <v>1336</v>
      </c>
      <c r="D442" s="1" t="s">
        <v>1095</v>
      </c>
      <c r="E442" s="1" t="s">
        <v>1297</v>
      </c>
      <c r="F442" s="1">
        <v>400</v>
      </c>
      <c r="G442" s="1" t="str">
        <f t="shared" si="32"/>
        <v>Transmission</v>
      </c>
      <c r="H442" s="1" t="s">
        <v>313</v>
      </c>
      <c r="I442" s="1" t="s">
        <v>15</v>
      </c>
      <c r="J442" s="7" t="s">
        <v>1337</v>
      </c>
      <c r="K442" s="1">
        <v>2.35</v>
      </c>
      <c r="L442" s="1" t="s">
        <v>109</v>
      </c>
      <c r="M442" s="1" t="s">
        <v>1338</v>
      </c>
      <c r="N442" s="1" t="s">
        <v>515</v>
      </c>
      <c r="O442" s="1" t="str">
        <f t="shared" si="31"/>
        <v>High</v>
      </c>
      <c r="P442" s="1" t="str">
        <f t="shared" si="33"/>
        <v>Permanent</v>
      </c>
    </row>
    <row r="443" spans="1:16" x14ac:dyDescent="0.3">
      <c r="A443" s="7" t="s">
        <v>1334</v>
      </c>
      <c r="B443" s="12" t="s">
        <v>1335</v>
      </c>
      <c r="C443" s="1" t="s">
        <v>1336</v>
      </c>
      <c r="D443" s="1" t="s">
        <v>1095</v>
      </c>
      <c r="E443" s="1" t="s">
        <v>1300</v>
      </c>
      <c r="F443" s="1">
        <v>400</v>
      </c>
      <c r="G443" s="1" t="str">
        <f t="shared" si="32"/>
        <v>Transmission</v>
      </c>
      <c r="H443" s="1" t="s">
        <v>313</v>
      </c>
      <c r="I443" s="1" t="s">
        <v>15</v>
      </c>
      <c r="J443" s="7" t="s">
        <v>1337</v>
      </c>
      <c r="K443" s="1">
        <v>2.35</v>
      </c>
      <c r="L443" s="1" t="s">
        <v>1090</v>
      </c>
      <c r="M443" s="1" t="s">
        <v>382</v>
      </c>
      <c r="N443" s="1" t="s">
        <v>515</v>
      </c>
      <c r="O443" s="1" t="str">
        <f t="shared" ref="O443:O501" si="34">IF(K443&lt;=0.083,"Low",IF(K443&lt;=0.5,"Medium",IF(K443&gt;0.5,"High")))</f>
        <v>High</v>
      </c>
      <c r="P443" s="1" t="str">
        <f t="shared" si="33"/>
        <v>Permanent</v>
      </c>
    </row>
    <row r="444" spans="1:16" x14ac:dyDescent="0.3">
      <c r="A444" s="7" t="s">
        <v>1339</v>
      </c>
      <c r="B444" s="12" t="s">
        <v>1340</v>
      </c>
      <c r="C444" s="1" t="s">
        <v>1341</v>
      </c>
      <c r="D444" s="1" t="s">
        <v>176</v>
      </c>
      <c r="E444" s="1" t="s">
        <v>1284</v>
      </c>
      <c r="F444" s="1">
        <v>132</v>
      </c>
      <c r="G444" s="1" t="str">
        <f t="shared" si="32"/>
        <v>Transmission</v>
      </c>
      <c r="H444" s="1" t="s">
        <v>14</v>
      </c>
      <c r="I444" s="1" t="s">
        <v>15</v>
      </c>
      <c r="J444" s="7" t="s">
        <v>1342</v>
      </c>
      <c r="K444" s="1">
        <v>11.78</v>
      </c>
      <c r="L444" s="1" t="s">
        <v>579</v>
      </c>
      <c r="M444" s="1" t="s">
        <v>1343</v>
      </c>
      <c r="N444" s="1" t="s">
        <v>515</v>
      </c>
      <c r="O444" s="1" t="str">
        <f t="shared" si="34"/>
        <v>High</v>
      </c>
      <c r="P444" s="1" t="str">
        <f t="shared" si="33"/>
        <v>Permanent</v>
      </c>
    </row>
    <row r="445" spans="1:16" x14ac:dyDescent="0.3">
      <c r="A445" s="7" t="s">
        <v>1345</v>
      </c>
      <c r="B445" s="12" t="s">
        <v>1215</v>
      </c>
      <c r="C445" s="1" t="s">
        <v>1344</v>
      </c>
      <c r="D445" s="1" t="s">
        <v>26</v>
      </c>
      <c r="E445" s="1" t="s">
        <v>1346</v>
      </c>
      <c r="F445" s="1">
        <v>132</v>
      </c>
      <c r="G445" s="1" t="str">
        <f t="shared" si="32"/>
        <v>Transmission</v>
      </c>
      <c r="H445" s="1" t="s">
        <v>14</v>
      </c>
      <c r="I445" s="1" t="s">
        <v>15</v>
      </c>
      <c r="J445" s="7" t="s">
        <v>1347</v>
      </c>
      <c r="K445" s="1">
        <v>1.05</v>
      </c>
      <c r="L445" s="1" t="s">
        <v>27</v>
      </c>
      <c r="M445" s="1" t="s">
        <v>1348</v>
      </c>
      <c r="N445" s="1" t="s">
        <v>515</v>
      </c>
      <c r="O445" s="1" t="str">
        <f t="shared" si="34"/>
        <v>High</v>
      </c>
      <c r="P445" s="1" t="str">
        <f t="shared" si="33"/>
        <v>Permanent</v>
      </c>
    </row>
    <row r="446" spans="1:16" x14ac:dyDescent="0.3">
      <c r="A446" s="7" t="s">
        <v>1350</v>
      </c>
      <c r="B446" s="12" t="s">
        <v>229</v>
      </c>
      <c r="C446" s="1" t="s">
        <v>1351</v>
      </c>
      <c r="D446" s="1" t="s">
        <v>30</v>
      </c>
      <c r="E446" s="1" t="s">
        <v>1352</v>
      </c>
      <c r="F446" s="1">
        <v>220</v>
      </c>
      <c r="G446" s="1" t="str">
        <f t="shared" si="32"/>
        <v>Transmission</v>
      </c>
      <c r="H446" s="1" t="s">
        <v>47</v>
      </c>
      <c r="I446" s="1" t="s">
        <v>15</v>
      </c>
      <c r="J446" s="9">
        <v>0.47152777777777777</v>
      </c>
      <c r="K446" s="1">
        <v>50.38</v>
      </c>
      <c r="L446" s="1" t="s">
        <v>832</v>
      </c>
      <c r="M446" s="1" t="s">
        <v>1353</v>
      </c>
      <c r="N446" s="1" t="s">
        <v>515</v>
      </c>
      <c r="O446" s="1" t="str">
        <f t="shared" si="34"/>
        <v>High</v>
      </c>
      <c r="P446" s="1" t="str">
        <f t="shared" si="33"/>
        <v>Permanent</v>
      </c>
    </row>
    <row r="447" spans="1:16" x14ac:dyDescent="0.3">
      <c r="A447" s="7" t="s">
        <v>1350</v>
      </c>
      <c r="B447" s="12" t="s">
        <v>229</v>
      </c>
      <c r="C447" s="1" t="s">
        <v>1351</v>
      </c>
      <c r="D447" s="1" t="s">
        <v>30</v>
      </c>
      <c r="E447" s="1" t="s">
        <v>1354</v>
      </c>
      <c r="F447" s="1">
        <v>220</v>
      </c>
      <c r="G447" s="1" t="str">
        <f t="shared" si="32"/>
        <v>Transmission</v>
      </c>
      <c r="H447" s="1" t="s">
        <v>47</v>
      </c>
      <c r="I447" s="1" t="s">
        <v>15</v>
      </c>
      <c r="J447" s="9">
        <v>0.47152777777777777</v>
      </c>
      <c r="K447" s="1">
        <v>50.38</v>
      </c>
      <c r="L447" s="1" t="s">
        <v>832</v>
      </c>
      <c r="M447" s="1" t="s">
        <v>374</v>
      </c>
      <c r="N447" s="1" t="s">
        <v>515</v>
      </c>
      <c r="O447" s="1" t="str">
        <f t="shared" si="34"/>
        <v>High</v>
      </c>
      <c r="P447" s="1" t="str">
        <f t="shared" si="33"/>
        <v>Permanent</v>
      </c>
    </row>
    <row r="448" spans="1:16" x14ac:dyDescent="0.3">
      <c r="A448" s="7" t="s">
        <v>1355</v>
      </c>
      <c r="B448" s="12" t="s">
        <v>1356</v>
      </c>
      <c r="C448" s="1" t="s">
        <v>1357</v>
      </c>
      <c r="D448" s="1" t="s">
        <v>1358</v>
      </c>
      <c r="E448" s="1" t="s">
        <v>1359</v>
      </c>
      <c r="F448" s="1">
        <v>132</v>
      </c>
      <c r="G448" s="1" t="str">
        <f t="shared" si="32"/>
        <v>Transmission</v>
      </c>
      <c r="H448" s="1" t="s">
        <v>87</v>
      </c>
      <c r="I448" s="1" t="s">
        <v>15</v>
      </c>
      <c r="J448" s="7" t="s">
        <v>1360</v>
      </c>
      <c r="K448" s="1">
        <v>4.45</v>
      </c>
      <c r="L448" s="1" t="s">
        <v>43</v>
      </c>
      <c r="M448" s="1" t="s">
        <v>1361</v>
      </c>
      <c r="N448" s="1" t="s">
        <v>515</v>
      </c>
      <c r="O448" s="1" t="str">
        <f t="shared" si="34"/>
        <v>High</v>
      </c>
      <c r="P448" s="1" t="str">
        <f t="shared" si="33"/>
        <v>Permanent</v>
      </c>
    </row>
    <row r="449" spans="1:16" x14ac:dyDescent="0.3">
      <c r="A449" s="7" t="s">
        <v>1355</v>
      </c>
      <c r="B449" s="12" t="s">
        <v>1356</v>
      </c>
      <c r="C449" s="1" t="s">
        <v>1357</v>
      </c>
      <c r="D449" s="1" t="s">
        <v>1358</v>
      </c>
      <c r="E449" s="1" t="s">
        <v>1362</v>
      </c>
      <c r="F449" s="1">
        <v>132</v>
      </c>
      <c r="G449" s="1" t="str">
        <f t="shared" si="32"/>
        <v>Transmission</v>
      </c>
      <c r="H449" s="1" t="s">
        <v>87</v>
      </c>
      <c r="I449" s="1" t="s">
        <v>15</v>
      </c>
      <c r="J449" s="7" t="s">
        <v>1363</v>
      </c>
      <c r="K449" s="1">
        <v>4.5</v>
      </c>
      <c r="L449" s="1" t="s">
        <v>43</v>
      </c>
      <c r="M449" s="1" t="s">
        <v>374</v>
      </c>
      <c r="N449" s="1" t="s">
        <v>515</v>
      </c>
      <c r="O449" s="1" t="str">
        <f t="shared" si="34"/>
        <v>High</v>
      </c>
      <c r="P449" s="1" t="str">
        <f t="shared" si="33"/>
        <v>Permanent</v>
      </c>
    </row>
    <row r="450" spans="1:16" x14ac:dyDescent="0.3">
      <c r="A450" s="7" t="s">
        <v>1355</v>
      </c>
      <c r="B450" s="12" t="s">
        <v>1356</v>
      </c>
      <c r="C450" s="1" t="s">
        <v>1357</v>
      </c>
      <c r="D450" s="1" t="s">
        <v>1358</v>
      </c>
      <c r="E450" s="1" t="s">
        <v>1366</v>
      </c>
      <c r="F450" s="1">
        <v>132</v>
      </c>
      <c r="G450" s="1" t="str">
        <f t="shared" si="32"/>
        <v>Transmission</v>
      </c>
      <c r="H450" s="1" t="s">
        <v>87</v>
      </c>
      <c r="I450" s="1" t="s">
        <v>15</v>
      </c>
      <c r="J450" s="7" t="s">
        <v>1367</v>
      </c>
      <c r="K450" s="1">
        <v>4.5199999999999996</v>
      </c>
      <c r="L450" s="1" t="s">
        <v>43</v>
      </c>
      <c r="M450" s="1" t="s">
        <v>374</v>
      </c>
      <c r="N450" s="1" t="s">
        <v>515</v>
      </c>
      <c r="O450" s="1" t="str">
        <f t="shared" si="34"/>
        <v>High</v>
      </c>
      <c r="P450" s="1" t="str">
        <f t="shared" si="33"/>
        <v>Permanent</v>
      </c>
    </row>
    <row r="451" spans="1:16" x14ac:dyDescent="0.3">
      <c r="A451" s="7" t="s">
        <v>1369</v>
      </c>
      <c r="B451" s="12" t="s">
        <v>1370</v>
      </c>
      <c r="C451" s="1" t="s">
        <v>1371</v>
      </c>
      <c r="D451" s="1" t="s">
        <v>1095</v>
      </c>
      <c r="E451" s="1" t="s">
        <v>1297</v>
      </c>
      <c r="F451" s="1">
        <v>400</v>
      </c>
      <c r="G451" s="1" t="str">
        <f t="shared" si="32"/>
        <v>Transmission</v>
      </c>
      <c r="H451" s="1" t="s">
        <v>313</v>
      </c>
      <c r="I451" s="1" t="s">
        <v>15</v>
      </c>
      <c r="J451" s="7" t="s">
        <v>1372</v>
      </c>
      <c r="K451" s="1">
        <v>0.05</v>
      </c>
      <c r="L451" s="1" t="s">
        <v>109</v>
      </c>
      <c r="M451" s="1" t="s">
        <v>382</v>
      </c>
      <c r="N451" s="1" t="s">
        <v>515</v>
      </c>
      <c r="O451" s="1" t="str">
        <f t="shared" si="34"/>
        <v>Low</v>
      </c>
      <c r="P451" s="1" t="str">
        <f t="shared" si="33"/>
        <v>Transient</v>
      </c>
    </row>
    <row r="452" spans="1:16" x14ac:dyDescent="0.3">
      <c r="A452" s="7" t="s">
        <v>1369</v>
      </c>
      <c r="B452" s="12" t="s">
        <v>229</v>
      </c>
      <c r="C452" s="1" t="s">
        <v>1373</v>
      </c>
      <c r="D452" s="1" t="s">
        <v>30</v>
      </c>
      <c r="E452" s="1" t="s">
        <v>1352</v>
      </c>
      <c r="F452" s="1">
        <v>220</v>
      </c>
      <c r="G452" s="1" t="str">
        <f t="shared" si="32"/>
        <v>Transmission</v>
      </c>
      <c r="H452" s="1" t="s">
        <v>47</v>
      </c>
      <c r="I452" s="1" t="s">
        <v>15</v>
      </c>
      <c r="J452" s="9">
        <v>0.47152777777777777</v>
      </c>
      <c r="K452" s="1">
        <v>50.38</v>
      </c>
      <c r="L452" s="1" t="s">
        <v>832</v>
      </c>
      <c r="M452" s="1" t="s">
        <v>1374</v>
      </c>
      <c r="N452" s="1" t="s">
        <v>515</v>
      </c>
      <c r="O452" s="1" t="str">
        <f t="shared" si="34"/>
        <v>High</v>
      </c>
      <c r="P452" s="1" t="str">
        <f t="shared" si="33"/>
        <v>Permanent</v>
      </c>
    </row>
    <row r="453" spans="1:16" x14ac:dyDescent="0.3">
      <c r="A453" s="7" t="s">
        <v>1375</v>
      </c>
      <c r="B453" s="12" t="s">
        <v>1376</v>
      </c>
      <c r="C453" s="1" t="s">
        <v>1373</v>
      </c>
      <c r="D453" s="1" t="s">
        <v>1002</v>
      </c>
      <c r="E453" s="1" t="s">
        <v>1377</v>
      </c>
      <c r="F453" s="1">
        <v>132</v>
      </c>
      <c r="G453" s="1" t="str">
        <f t="shared" si="32"/>
        <v>Transmission</v>
      </c>
      <c r="H453" s="1" t="s">
        <v>14</v>
      </c>
      <c r="I453" s="1" t="s">
        <v>15</v>
      </c>
      <c r="J453" s="7" t="s">
        <v>1378</v>
      </c>
      <c r="K453" s="1">
        <v>0.15</v>
      </c>
      <c r="L453" s="1" t="s">
        <v>415</v>
      </c>
      <c r="M453" s="1" t="s">
        <v>382</v>
      </c>
      <c r="N453" s="1" t="s">
        <v>515</v>
      </c>
      <c r="O453" s="1" t="str">
        <f t="shared" si="34"/>
        <v>Medium</v>
      </c>
      <c r="P453" s="1" t="str">
        <f t="shared" si="33"/>
        <v>Sustained</v>
      </c>
    </row>
    <row r="454" spans="1:16" x14ac:dyDescent="0.3">
      <c r="A454" s="7" t="s">
        <v>1375</v>
      </c>
      <c r="B454" s="12" t="s">
        <v>1376</v>
      </c>
      <c r="C454" s="1" t="s">
        <v>1373</v>
      </c>
      <c r="D454" s="1" t="s">
        <v>1002</v>
      </c>
      <c r="E454" s="1" t="s">
        <v>1379</v>
      </c>
      <c r="F454" s="1">
        <v>132</v>
      </c>
      <c r="G454" s="1" t="str">
        <f t="shared" si="32"/>
        <v>Transmission</v>
      </c>
      <c r="H454" s="1" t="s">
        <v>14</v>
      </c>
      <c r="I454" s="1" t="s">
        <v>15</v>
      </c>
      <c r="J454" s="7" t="s">
        <v>1380</v>
      </c>
      <c r="K454" s="1">
        <v>0.12</v>
      </c>
      <c r="L454" s="1" t="s">
        <v>487</v>
      </c>
      <c r="M454" s="1" t="s">
        <v>382</v>
      </c>
      <c r="N454" s="1" t="s">
        <v>515</v>
      </c>
      <c r="O454" s="1" t="str">
        <f t="shared" si="34"/>
        <v>Medium</v>
      </c>
      <c r="P454" s="1" t="str">
        <f t="shared" si="33"/>
        <v>Sustained</v>
      </c>
    </row>
    <row r="455" spans="1:16" x14ac:dyDescent="0.3">
      <c r="A455" s="7" t="s">
        <v>1381</v>
      </c>
      <c r="B455" s="12" t="s">
        <v>1382</v>
      </c>
      <c r="C455" s="1" t="s">
        <v>1383</v>
      </c>
      <c r="D455" s="1" t="s">
        <v>1118</v>
      </c>
      <c r="E455" s="1" t="s">
        <v>1119</v>
      </c>
      <c r="F455" s="1">
        <v>132</v>
      </c>
      <c r="G455" s="1" t="str">
        <f t="shared" si="32"/>
        <v>Transmission</v>
      </c>
      <c r="H455" s="1" t="s">
        <v>14</v>
      </c>
      <c r="I455" s="1" t="s">
        <v>64</v>
      </c>
      <c r="J455" s="7" t="s">
        <v>1384</v>
      </c>
      <c r="K455" s="1">
        <v>1.55</v>
      </c>
      <c r="L455" s="1" t="s">
        <v>415</v>
      </c>
      <c r="M455" s="1" t="s">
        <v>1385</v>
      </c>
      <c r="N455" s="1" t="s">
        <v>515</v>
      </c>
      <c r="O455" s="1" t="str">
        <f t="shared" si="34"/>
        <v>High</v>
      </c>
      <c r="P455" s="1" t="str">
        <f t="shared" si="33"/>
        <v>Permanent</v>
      </c>
    </row>
    <row r="456" spans="1:16" x14ac:dyDescent="0.3">
      <c r="A456" s="7" t="s">
        <v>1393</v>
      </c>
      <c r="B456" s="12" t="s">
        <v>1010</v>
      </c>
      <c r="C456" s="1" t="s">
        <v>1394</v>
      </c>
      <c r="D456" s="1" t="s">
        <v>1395</v>
      </c>
      <c r="E456" s="1" t="s">
        <v>639</v>
      </c>
      <c r="F456" s="1">
        <v>132</v>
      </c>
      <c r="G456" s="1" t="str">
        <f t="shared" si="32"/>
        <v>Transmission</v>
      </c>
      <c r="H456" s="1" t="s">
        <v>14</v>
      </c>
      <c r="I456" s="1" t="s">
        <v>64</v>
      </c>
      <c r="J456" s="7" t="s">
        <v>1396</v>
      </c>
      <c r="K456" s="1">
        <v>0.03</v>
      </c>
      <c r="L456" s="1" t="s">
        <v>17</v>
      </c>
      <c r="M456" s="1" t="s">
        <v>1397</v>
      </c>
      <c r="N456" s="1" t="s">
        <v>515</v>
      </c>
      <c r="O456" s="1" t="str">
        <f t="shared" si="34"/>
        <v>Low</v>
      </c>
      <c r="P456" s="1" t="str">
        <f t="shared" si="33"/>
        <v>Transient</v>
      </c>
    </row>
    <row r="457" spans="1:16" x14ac:dyDescent="0.3">
      <c r="A457" s="7" t="s">
        <v>1393</v>
      </c>
      <c r="B457" s="12" t="s">
        <v>1010</v>
      </c>
      <c r="C457" s="1" t="s">
        <v>1394</v>
      </c>
      <c r="D457" s="1" t="s">
        <v>1160</v>
      </c>
      <c r="E457" s="1" t="s">
        <v>636</v>
      </c>
      <c r="F457" s="1">
        <v>132</v>
      </c>
      <c r="G457" s="1" t="str">
        <f t="shared" si="32"/>
        <v>Transmission</v>
      </c>
      <c r="H457" s="1" t="s">
        <v>14</v>
      </c>
      <c r="I457" s="1" t="s">
        <v>64</v>
      </c>
      <c r="J457" s="7" t="s">
        <v>1390</v>
      </c>
      <c r="K457" s="1">
        <v>0.05</v>
      </c>
      <c r="L457" s="1" t="s">
        <v>17</v>
      </c>
      <c r="M457" s="1" t="s">
        <v>1398</v>
      </c>
      <c r="N457" s="1" t="s">
        <v>515</v>
      </c>
      <c r="O457" s="1" t="str">
        <f t="shared" si="34"/>
        <v>Low</v>
      </c>
      <c r="P457" s="1" t="str">
        <f t="shared" si="33"/>
        <v>Transient</v>
      </c>
    </row>
    <row r="458" spans="1:16" x14ac:dyDescent="0.3">
      <c r="A458" s="7" t="s">
        <v>1405</v>
      </c>
      <c r="B458" s="12" t="s">
        <v>746</v>
      </c>
      <c r="C458" s="1" t="s">
        <v>1406</v>
      </c>
      <c r="D458" s="1" t="s">
        <v>26</v>
      </c>
      <c r="E458" s="1" t="s">
        <v>1407</v>
      </c>
      <c r="F458" s="1">
        <v>132</v>
      </c>
      <c r="G458" s="1" t="str">
        <f t="shared" si="32"/>
        <v>Transmission</v>
      </c>
      <c r="H458" s="1" t="s">
        <v>14</v>
      </c>
      <c r="I458" s="1" t="s">
        <v>15</v>
      </c>
      <c r="J458" s="7" t="s">
        <v>1408</v>
      </c>
      <c r="K458" s="1">
        <v>0.93</v>
      </c>
      <c r="L458" s="1" t="s">
        <v>17</v>
      </c>
      <c r="M458" s="1" t="s">
        <v>1409</v>
      </c>
      <c r="N458" s="1" t="s">
        <v>604</v>
      </c>
      <c r="O458" s="1" t="str">
        <f t="shared" si="34"/>
        <v>High</v>
      </c>
      <c r="P458" s="1" t="str">
        <f t="shared" si="33"/>
        <v>Permanent</v>
      </c>
    </row>
    <row r="459" spans="1:16" x14ac:dyDescent="0.3">
      <c r="A459" s="7" t="s">
        <v>1426</v>
      </c>
      <c r="B459" s="12" t="s">
        <v>1427</v>
      </c>
      <c r="C459" s="1" t="s">
        <v>1428</v>
      </c>
      <c r="D459" s="1" t="s">
        <v>1429</v>
      </c>
      <c r="E459" s="1" t="s">
        <v>1430</v>
      </c>
      <c r="F459" s="1">
        <v>132</v>
      </c>
      <c r="G459" s="1" t="str">
        <f t="shared" si="32"/>
        <v>Transmission</v>
      </c>
      <c r="H459" s="1" t="s">
        <v>14</v>
      </c>
      <c r="I459" s="1" t="s">
        <v>15</v>
      </c>
      <c r="J459" s="7" t="s">
        <v>1431</v>
      </c>
      <c r="K459" s="1">
        <v>0.75</v>
      </c>
      <c r="L459" s="1" t="s">
        <v>579</v>
      </c>
      <c r="M459" s="1" t="s">
        <v>1078</v>
      </c>
      <c r="N459" s="1" t="s">
        <v>604</v>
      </c>
      <c r="O459" s="1" t="str">
        <f t="shared" si="34"/>
        <v>High</v>
      </c>
      <c r="P459" s="1" t="str">
        <f t="shared" si="33"/>
        <v>Permanent</v>
      </c>
    </row>
    <row r="460" spans="1:16" x14ac:dyDescent="0.3">
      <c r="A460" s="7" t="s">
        <v>1432</v>
      </c>
      <c r="B460" s="12" t="s">
        <v>1433</v>
      </c>
      <c r="C460" s="1" t="s">
        <v>1434</v>
      </c>
      <c r="D460" s="1" t="s">
        <v>1435</v>
      </c>
      <c r="E460" s="1" t="s">
        <v>602</v>
      </c>
      <c r="F460" s="1">
        <v>132</v>
      </c>
      <c r="G460" s="1" t="str">
        <f t="shared" si="32"/>
        <v>Transmission</v>
      </c>
      <c r="H460" s="1" t="s">
        <v>21</v>
      </c>
      <c r="I460" s="1" t="s">
        <v>64</v>
      </c>
      <c r="J460" s="7" t="s">
        <v>1436</v>
      </c>
      <c r="K460" s="1">
        <v>0.82</v>
      </c>
      <c r="L460" s="1" t="s">
        <v>17</v>
      </c>
      <c r="M460" s="1" t="s">
        <v>1437</v>
      </c>
      <c r="N460" s="1" t="s">
        <v>604</v>
      </c>
      <c r="O460" s="1" t="str">
        <f t="shared" si="34"/>
        <v>High</v>
      </c>
      <c r="P460" s="1" t="str">
        <f t="shared" si="33"/>
        <v>Permanent</v>
      </c>
    </row>
    <row r="461" spans="1:16" x14ac:dyDescent="0.3">
      <c r="A461" s="7" t="s">
        <v>1438</v>
      </c>
      <c r="B461" s="12" t="s">
        <v>873</v>
      </c>
      <c r="C461" s="1" t="s">
        <v>1439</v>
      </c>
      <c r="D461" s="1" t="s">
        <v>1440</v>
      </c>
      <c r="E461" s="1" t="s">
        <v>686</v>
      </c>
      <c r="F461" s="1">
        <v>132</v>
      </c>
      <c r="G461" s="1" t="str">
        <f t="shared" si="32"/>
        <v>Transmission</v>
      </c>
      <c r="H461" s="1" t="s">
        <v>21</v>
      </c>
      <c r="I461" s="1" t="s">
        <v>31</v>
      </c>
      <c r="J461" s="7" t="s">
        <v>1263</v>
      </c>
      <c r="K461" s="1">
        <v>0.1</v>
      </c>
      <c r="L461" s="1" t="s">
        <v>17</v>
      </c>
      <c r="M461" s="1" t="s">
        <v>1441</v>
      </c>
      <c r="N461" s="1" t="s">
        <v>695</v>
      </c>
      <c r="O461" s="1" t="str">
        <f t="shared" si="34"/>
        <v>Medium</v>
      </c>
      <c r="P461" s="1" t="str">
        <f t="shared" si="33"/>
        <v>Sustained</v>
      </c>
    </row>
    <row r="462" spans="1:16" x14ac:dyDescent="0.3">
      <c r="A462" s="7" t="s">
        <v>1442</v>
      </c>
      <c r="B462" s="12" t="s">
        <v>1443</v>
      </c>
      <c r="C462" s="1" t="s">
        <v>1444</v>
      </c>
      <c r="D462" s="1" t="s">
        <v>420</v>
      </c>
      <c r="E462" s="1" t="s">
        <v>1445</v>
      </c>
      <c r="F462" s="1">
        <v>132</v>
      </c>
      <c r="G462" s="1" t="str">
        <f t="shared" si="32"/>
        <v>Transmission</v>
      </c>
      <c r="H462" s="1" t="s">
        <v>21</v>
      </c>
      <c r="I462" s="1" t="s">
        <v>64</v>
      </c>
      <c r="J462" s="7" t="s">
        <v>502</v>
      </c>
      <c r="K462" s="1">
        <v>2.52</v>
      </c>
      <c r="L462" s="1" t="s">
        <v>17</v>
      </c>
      <c r="M462" s="1" t="s">
        <v>1446</v>
      </c>
      <c r="N462" s="1" t="s">
        <v>695</v>
      </c>
      <c r="O462" s="1" t="str">
        <f t="shared" si="34"/>
        <v>High</v>
      </c>
      <c r="P462" s="1" t="str">
        <f t="shared" si="33"/>
        <v>Permanent</v>
      </c>
    </row>
    <row r="463" spans="1:16" x14ac:dyDescent="0.3">
      <c r="A463" s="7" t="s">
        <v>1442</v>
      </c>
      <c r="B463" s="12" t="s">
        <v>1447</v>
      </c>
      <c r="C463" s="1" t="s">
        <v>1448</v>
      </c>
      <c r="D463" s="1" t="s">
        <v>1440</v>
      </c>
      <c r="E463" s="1" t="s">
        <v>686</v>
      </c>
      <c r="F463" s="1">
        <v>132</v>
      </c>
      <c r="G463" s="1" t="str">
        <f t="shared" si="32"/>
        <v>Transmission</v>
      </c>
      <c r="H463" s="1" t="s">
        <v>21</v>
      </c>
      <c r="I463" s="1" t="s">
        <v>1449</v>
      </c>
      <c r="J463" s="7" t="s">
        <v>692</v>
      </c>
      <c r="K463" s="1">
        <v>0.05</v>
      </c>
      <c r="L463" s="1" t="s">
        <v>17</v>
      </c>
      <c r="M463" s="1" t="s">
        <v>1441</v>
      </c>
      <c r="N463" s="1" t="s">
        <v>695</v>
      </c>
      <c r="O463" s="1" t="str">
        <f t="shared" si="34"/>
        <v>Low</v>
      </c>
      <c r="P463" s="1" t="str">
        <f t="shared" si="33"/>
        <v>Transient</v>
      </c>
    </row>
    <row r="464" spans="1:16" x14ac:dyDescent="0.3">
      <c r="A464" s="7" t="s">
        <v>1442</v>
      </c>
      <c r="B464" s="12" t="s">
        <v>1447</v>
      </c>
      <c r="C464" s="1" t="s">
        <v>1448</v>
      </c>
      <c r="D464" s="1" t="s">
        <v>1440</v>
      </c>
      <c r="E464" s="1" t="s">
        <v>689</v>
      </c>
      <c r="F464" s="1">
        <v>132</v>
      </c>
      <c r="G464" s="1" t="str">
        <f t="shared" si="32"/>
        <v>Transmission</v>
      </c>
      <c r="H464" s="1" t="s">
        <v>21</v>
      </c>
      <c r="I464" s="1" t="s">
        <v>1449</v>
      </c>
      <c r="J464" s="7" t="s">
        <v>692</v>
      </c>
      <c r="K464" s="1">
        <v>0.05</v>
      </c>
      <c r="L464" s="1" t="s">
        <v>17</v>
      </c>
      <c r="M464" s="1" t="s">
        <v>382</v>
      </c>
      <c r="N464" s="1" t="s">
        <v>695</v>
      </c>
      <c r="O464" s="1" t="str">
        <f t="shared" si="34"/>
        <v>Low</v>
      </c>
      <c r="P464" s="1" t="str">
        <f t="shared" si="33"/>
        <v>Transient</v>
      </c>
    </row>
    <row r="465" spans="1:16" x14ac:dyDescent="0.3">
      <c r="A465" s="7" t="s">
        <v>1442</v>
      </c>
      <c r="B465" s="12" t="s">
        <v>1450</v>
      </c>
      <c r="C465" s="1" t="s">
        <v>1451</v>
      </c>
      <c r="D465" s="1" t="s">
        <v>1440</v>
      </c>
      <c r="E465" s="1" t="s">
        <v>686</v>
      </c>
      <c r="F465" s="1">
        <v>132</v>
      </c>
      <c r="G465" s="1" t="str">
        <f t="shared" si="32"/>
        <v>Transmission</v>
      </c>
      <c r="H465" s="1" t="s">
        <v>21</v>
      </c>
      <c r="I465" s="1" t="s">
        <v>1449</v>
      </c>
      <c r="J465" s="7" t="s">
        <v>1452</v>
      </c>
      <c r="K465" s="1">
        <v>1.05</v>
      </c>
      <c r="L465" s="1" t="s">
        <v>17</v>
      </c>
      <c r="M465" s="1" t="s">
        <v>1441</v>
      </c>
      <c r="N465" s="1" t="s">
        <v>695</v>
      </c>
      <c r="O465" s="1" t="str">
        <f t="shared" si="34"/>
        <v>High</v>
      </c>
      <c r="P465" s="1" t="str">
        <f t="shared" si="33"/>
        <v>Permanent</v>
      </c>
    </row>
    <row r="466" spans="1:16" x14ac:dyDescent="0.3">
      <c r="A466" s="7" t="s">
        <v>1453</v>
      </c>
      <c r="B466" s="12" t="s">
        <v>1454</v>
      </c>
      <c r="C466" s="1" t="s">
        <v>1455</v>
      </c>
      <c r="D466" s="1" t="s">
        <v>1440</v>
      </c>
      <c r="E466" s="1" t="s">
        <v>686</v>
      </c>
      <c r="F466" s="1">
        <v>132</v>
      </c>
      <c r="G466" s="1" t="str">
        <f t="shared" si="32"/>
        <v>Transmission</v>
      </c>
      <c r="H466" s="1" t="s">
        <v>21</v>
      </c>
      <c r="I466" s="1" t="s">
        <v>31</v>
      </c>
      <c r="J466" s="7" t="s">
        <v>1456</v>
      </c>
      <c r="K466" s="1">
        <v>0.25</v>
      </c>
      <c r="L466" s="1" t="s">
        <v>17</v>
      </c>
      <c r="M466" s="1" t="s">
        <v>1441</v>
      </c>
      <c r="N466" s="1" t="s">
        <v>695</v>
      </c>
      <c r="O466" s="1" t="str">
        <f t="shared" si="34"/>
        <v>Medium</v>
      </c>
      <c r="P466" s="1" t="str">
        <f t="shared" si="33"/>
        <v>Sustained</v>
      </c>
    </row>
    <row r="467" spans="1:16" x14ac:dyDescent="0.3">
      <c r="A467" s="7" t="s">
        <v>1453</v>
      </c>
      <c r="B467" s="12" t="s">
        <v>1457</v>
      </c>
      <c r="C467" s="1" t="s">
        <v>1458</v>
      </c>
      <c r="D467" s="1" t="s">
        <v>856</v>
      </c>
      <c r="E467" s="1" t="s">
        <v>1459</v>
      </c>
      <c r="F467" s="1">
        <v>132</v>
      </c>
      <c r="G467" s="1" t="str">
        <f t="shared" si="32"/>
        <v>Transmission</v>
      </c>
      <c r="H467" s="1" t="s">
        <v>14</v>
      </c>
      <c r="I467" s="1" t="s">
        <v>15</v>
      </c>
      <c r="J467" s="9">
        <v>4.3750000000000004E-2</v>
      </c>
      <c r="K467" s="1">
        <v>1.45</v>
      </c>
      <c r="L467" s="1" t="s">
        <v>579</v>
      </c>
      <c r="M467" s="1" t="s">
        <v>1460</v>
      </c>
      <c r="N467" s="1" t="s">
        <v>695</v>
      </c>
      <c r="O467" s="1" t="str">
        <f t="shared" si="34"/>
        <v>High</v>
      </c>
      <c r="P467" s="1" t="str">
        <f t="shared" si="33"/>
        <v>Permanent</v>
      </c>
    </row>
    <row r="468" spans="1:16" x14ac:dyDescent="0.3">
      <c r="A468" s="7" t="s">
        <v>1462</v>
      </c>
      <c r="B468" s="12" t="s">
        <v>1463</v>
      </c>
      <c r="C468" s="1" t="s">
        <v>1464</v>
      </c>
      <c r="D468" s="1" t="s">
        <v>1465</v>
      </c>
      <c r="E468" s="1" t="s">
        <v>1466</v>
      </c>
      <c r="F468" s="1">
        <v>132</v>
      </c>
      <c r="G468" s="1" t="str">
        <f t="shared" si="32"/>
        <v>Transmission</v>
      </c>
      <c r="H468" s="1" t="s">
        <v>21</v>
      </c>
      <c r="I468" s="1" t="s">
        <v>64</v>
      </c>
      <c r="J468" s="7" t="s">
        <v>1467</v>
      </c>
      <c r="K468" s="1">
        <v>1.1000000000000001</v>
      </c>
      <c r="L468" s="1" t="s">
        <v>17</v>
      </c>
      <c r="M468" s="1" t="s">
        <v>1468</v>
      </c>
      <c r="N468" s="1" t="s">
        <v>695</v>
      </c>
      <c r="O468" s="1" t="str">
        <f t="shared" si="34"/>
        <v>High</v>
      </c>
      <c r="P468" s="1" t="str">
        <f t="shared" si="33"/>
        <v>Permanent</v>
      </c>
    </row>
    <row r="469" spans="1:16" x14ac:dyDescent="0.3">
      <c r="A469" s="7" t="s">
        <v>1462</v>
      </c>
      <c r="B469" s="12" t="s">
        <v>1463</v>
      </c>
      <c r="C469" s="1" t="s">
        <v>1464</v>
      </c>
      <c r="D469" s="1" t="s">
        <v>1469</v>
      </c>
      <c r="E469" s="1" t="s">
        <v>1470</v>
      </c>
      <c r="F469" s="1">
        <v>132</v>
      </c>
      <c r="G469" s="1" t="str">
        <f t="shared" si="32"/>
        <v>Transmission</v>
      </c>
      <c r="H469" s="1" t="s">
        <v>21</v>
      </c>
      <c r="I469" s="1" t="s">
        <v>64</v>
      </c>
      <c r="J469" s="7" t="s">
        <v>16</v>
      </c>
      <c r="K469" s="1">
        <v>0</v>
      </c>
      <c r="L469" s="1" t="s">
        <v>1471</v>
      </c>
      <c r="M469" s="1" t="s">
        <v>1043</v>
      </c>
      <c r="N469" s="1" t="s">
        <v>695</v>
      </c>
      <c r="O469" s="1" t="str">
        <f t="shared" si="34"/>
        <v>Low</v>
      </c>
      <c r="P469" s="1" t="str">
        <f t="shared" si="33"/>
        <v>Transient</v>
      </c>
    </row>
    <row r="470" spans="1:16" x14ac:dyDescent="0.3">
      <c r="A470" s="7" t="s">
        <v>1462</v>
      </c>
      <c r="B470" s="12" t="s">
        <v>554</v>
      </c>
      <c r="C470" s="1" t="s">
        <v>1472</v>
      </c>
      <c r="D470" s="1" t="s">
        <v>1473</v>
      </c>
      <c r="E470" s="1" t="s">
        <v>1474</v>
      </c>
      <c r="F470" s="1">
        <v>400</v>
      </c>
      <c r="G470" s="1" t="str">
        <f t="shared" si="32"/>
        <v>Transmission</v>
      </c>
      <c r="H470" s="1" t="s">
        <v>47</v>
      </c>
      <c r="I470" s="1" t="s">
        <v>31</v>
      </c>
      <c r="J470" s="7" t="s">
        <v>610</v>
      </c>
      <c r="K470" s="1">
        <v>2.2000000000000002</v>
      </c>
      <c r="L470" s="1" t="s">
        <v>1475</v>
      </c>
      <c r="M470" s="1" t="s">
        <v>1476</v>
      </c>
      <c r="N470" s="1" t="s">
        <v>695</v>
      </c>
      <c r="O470" s="1" t="str">
        <f t="shared" si="34"/>
        <v>High</v>
      </c>
      <c r="P470" s="1" t="str">
        <f t="shared" si="33"/>
        <v>Permanent</v>
      </c>
    </row>
    <row r="471" spans="1:16" x14ac:dyDescent="0.3">
      <c r="A471" s="7" t="s">
        <v>1462</v>
      </c>
      <c r="B471" s="12" t="s">
        <v>554</v>
      </c>
      <c r="C471" s="1" t="s">
        <v>1472</v>
      </c>
      <c r="D471" s="1" t="s">
        <v>1473</v>
      </c>
      <c r="E471" s="1" t="s">
        <v>1477</v>
      </c>
      <c r="F471" s="1">
        <v>400</v>
      </c>
      <c r="G471" s="1" t="str">
        <f t="shared" si="32"/>
        <v>Transmission</v>
      </c>
      <c r="H471" s="1" t="s">
        <v>47</v>
      </c>
      <c r="I471" s="1" t="s">
        <v>31</v>
      </c>
      <c r="J471" s="7" t="s">
        <v>1478</v>
      </c>
      <c r="K471" s="1">
        <v>2.1800000000000002</v>
      </c>
      <c r="L471" s="1" t="s">
        <v>1479</v>
      </c>
      <c r="M471" s="1" t="s">
        <v>1480</v>
      </c>
      <c r="N471" s="1" t="s">
        <v>695</v>
      </c>
      <c r="O471" s="1" t="str">
        <f t="shared" si="34"/>
        <v>High</v>
      </c>
      <c r="P471" s="1" t="str">
        <f t="shared" si="33"/>
        <v>Permanent</v>
      </c>
    </row>
    <row r="472" spans="1:16" x14ac:dyDescent="0.3">
      <c r="A472" s="7" t="s">
        <v>1462</v>
      </c>
      <c r="B472" s="12" t="s">
        <v>554</v>
      </c>
      <c r="C472" s="1" t="s">
        <v>1472</v>
      </c>
      <c r="D472" s="1" t="s">
        <v>551</v>
      </c>
      <c r="E472" s="1" t="s">
        <v>1481</v>
      </c>
      <c r="F472" s="1">
        <v>400</v>
      </c>
      <c r="G472" s="1" t="str">
        <f t="shared" si="32"/>
        <v>Transmission</v>
      </c>
      <c r="H472" s="1" t="s">
        <v>47</v>
      </c>
      <c r="I472" s="1" t="s">
        <v>31</v>
      </c>
      <c r="J472" s="7" t="s">
        <v>941</v>
      </c>
      <c r="K472" s="1">
        <v>2.2200000000000002</v>
      </c>
      <c r="L472" s="1" t="s">
        <v>1475</v>
      </c>
      <c r="M472" s="1" t="s">
        <v>28</v>
      </c>
      <c r="N472" s="1" t="s">
        <v>695</v>
      </c>
      <c r="O472" s="1" t="str">
        <f t="shared" si="34"/>
        <v>High</v>
      </c>
      <c r="P472" s="1" t="str">
        <f t="shared" si="33"/>
        <v>Permanent</v>
      </c>
    </row>
    <row r="473" spans="1:16" x14ac:dyDescent="0.3">
      <c r="A473" s="7" t="s">
        <v>1462</v>
      </c>
      <c r="B473" s="12" t="s">
        <v>554</v>
      </c>
      <c r="C473" s="1" t="s">
        <v>1472</v>
      </c>
      <c r="D473" s="1" t="s">
        <v>551</v>
      </c>
      <c r="E473" s="1" t="s">
        <v>1482</v>
      </c>
      <c r="F473" s="1">
        <v>400</v>
      </c>
      <c r="G473" s="1" t="str">
        <f t="shared" si="32"/>
        <v>Transmission</v>
      </c>
      <c r="H473" s="1" t="s">
        <v>47</v>
      </c>
      <c r="I473" s="1" t="s">
        <v>31</v>
      </c>
      <c r="J473" s="7" t="s">
        <v>1483</v>
      </c>
      <c r="K473" s="1">
        <v>2.0499999999999998</v>
      </c>
      <c r="L473" s="1" t="s">
        <v>1475</v>
      </c>
      <c r="M473" s="1" t="s">
        <v>1484</v>
      </c>
      <c r="N473" s="1" t="s">
        <v>695</v>
      </c>
      <c r="O473" s="1" t="str">
        <f t="shared" si="34"/>
        <v>High</v>
      </c>
      <c r="P473" s="1" t="str">
        <f t="shared" si="33"/>
        <v>Permanent</v>
      </c>
    </row>
    <row r="474" spans="1:16" x14ac:dyDescent="0.3">
      <c r="A474" s="7" t="s">
        <v>1462</v>
      </c>
      <c r="B474" s="12" t="s">
        <v>554</v>
      </c>
      <c r="C474" s="1" t="s">
        <v>1472</v>
      </c>
      <c r="D474" s="1" t="s">
        <v>551</v>
      </c>
      <c r="E474" s="1" t="s">
        <v>1485</v>
      </c>
      <c r="F474" s="1">
        <v>400</v>
      </c>
      <c r="G474" s="1" t="str">
        <f t="shared" si="32"/>
        <v>Transmission</v>
      </c>
      <c r="H474" s="1" t="s">
        <v>47</v>
      </c>
      <c r="I474" s="1" t="s">
        <v>31</v>
      </c>
      <c r="J474" s="7" t="s">
        <v>1486</v>
      </c>
      <c r="K474" s="1">
        <v>2.4300000000000002</v>
      </c>
      <c r="L474" s="1" t="s">
        <v>17</v>
      </c>
      <c r="M474" s="1" t="s">
        <v>374</v>
      </c>
      <c r="N474" s="1" t="s">
        <v>695</v>
      </c>
      <c r="O474" s="1" t="str">
        <f t="shared" si="34"/>
        <v>High</v>
      </c>
      <c r="P474" s="1" t="str">
        <f t="shared" si="33"/>
        <v>Permanent</v>
      </c>
    </row>
    <row r="475" spans="1:16" x14ac:dyDescent="0.3">
      <c r="A475" s="7" t="s">
        <v>1462</v>
      </c>
      <c r="B475" s="12" t="s">
        <v>554</v>
      </c>
      <c r="C475" s="1" t="s">
        <v>1472</v>
      </c>
      <c r="D475" s="1" t="s">
        <v>551</v>
      </c>
      <c r="E475" s="1" t="s">
        <v>1487</v>
      </c>
      <c r="F475" s="1">
        <v>400</v>
      </c>
      <c r="G475" s="1" t="str">
        <f t="shared" si="32"/>
        <v>Transmission</v>
      </c>
      <c r="H475" s="1" t="s">
        <v>47</v>
      </c>
      <c r="I475" s="1" t="s">
        <v>31</v>
      </c>
      <c r="J475" s="7" t="s">
        <v>843</v>
      </c>
      <c r="K475" s="1">
        <v>2.5299999999999998</v>
      </c>
      <c r="L475" s="1" t="s">
        <v>1475</v>
      </c>
      <c r="M475" s="1" t="s">
        <v>28</v>
      </c>
      <c r="N475" s="1" t="s">
        <v>695</v>
      </c>
      <c r="O475" s="1" t="str">
        <f t="shared" si="34"/>
        <v>High</v>
      </c>
      <c r="P475" s="1" t="str">
        <f t="shared" si="33"/>
        <v>Permanent</v>
      </c>
    </row>
    <row r="476" spans="1:16" x14ac:dyDescent="0.3">
      <c r="A476" s="7" t="s">
        <v>1488</v>
      </c>
      <c r="B476" s="12" t="s">
        <v>1495</v>
      </c>
      <c r="C476" s="1" t="s">
        <v>1496</v>
      </c>
      <c r="D476" s="1" t="s">
        <v>1095</v>
      </c>
      <c r="E476" s="1" t="s">
        <v>1300</v>
      </c>
      <c r="F476" s="1">
        <v>400</v>
      </c>
      <c r="G476" s="1" t="str">
        <f t="shared" si="32"/>
        <v>Transmission</v>
      </c>
      <c r="H476" s="1" t="s">
        <v>47</v>
      </c>
      <c r="I476" s="1" t="s">
        <v>64</v>
      </c>
      <c r="J476" s="7" t="s">
        <v>1497</v>
      </c>
      <c r="K476" s="1">
        <v>1.57</v>
      </c>
      <c r="L476" s="1" t="s">
        <v>1219</v>
      </c>
      <c r="M476" s="1" t="s">
        <v>382</v>
      </c>
      <c r="N476" s="1" t="s">
        <v>695</v>
      </c>
      <c r="O476" s="1" t="str">
        <f t="shared" si="34"/>
        <v>High</v>
      </c>
      <c r="P476" s="1" t="str">
        <f t="shared" si="33"/>
        <v>Permanent</v>
      </c>
    </row>
    <row r="477" spans="1:16" x14ac:dyDescent="0.3">
      <c r="A477" s="7" t="s">
        <v>1488</v>
      </c>
      <c r="B477" s="12" t="s">
        <v>651</v>
      </c>
      <c r="C477" s="1" t="s">
        <v>1498</v>
      </c>
      <c r="D477" s="1" t="s">
        <v>1095</v>
      </c>
      <c r="E477" s="1" t="s">
        <v>1300</v>
      </c>
      <c r="F477" s="1">
        <v>400</v>
      </c>
      <c r="G477" s="1" t="str">
        <f t="shared" si="32"/>
        <v>Transmission</v>
      </c>
      <c r="H477" s="1" t="s">
        <v>47</v>
      </c>
      <c r="I477" s="1" t="s">
        <v>64</v>
      </c>
      <c r="J477" s="7" t="s">
        <v>1499</v>
      </c>
      <c r="K477" s="1">
        <v>1.52</v>
      </c>
      <c r="L477" s="1" t="s">
        <v>365</v>
      </c>
      <c r="M477" s="1" t="s">
        <v>1500</v>
      </c>
      <c r="N477" s="1" t="s">
        <v>695</v>
      </c>
      <c r="O477" s="1" t="str">
        <f t="shared" si="34"/>
        <v>High</v>
      </c>
      <c r="P477" s="1" t="str">
        <f t="shared" si="33"/>
        <v>Permanent</v>
      </c>
    </row>
    <row r="478" spans="1:16" x14ac:dyDescent="0.3">
      <c r="A478" s="7" t="s">
        <v>1501</v>
      </c>
      <c r="B478" s="12" t="s">
        <v>1502</v>
      </c>
      <c r="C478" s="1" t="s">
        <v>1503</v>
      </c>
      <c r="D478" s="1" t="s">
        <v>1504</v>
      </c>
      <c r="E478" s="1" t="s">
        <v>1505</v>
      </c>
      <c r="F478" s="1">
        <v>220</v>
      </c>
      <c r="G478" s="1" t="str">
        <f t="shared" si="32"/>
        <v>Transmission</v>
      </c>
      <c r="H478" s="1" t="s">
        <v>47</v>
      </c>
      <c r="I478" s="1" t="s">
        <v>64</v>
      </c>
      <c r="J478" s="7" t="s">
        <v>1506</v>
      </c>
      <c r="K478" s="1">
        <v>0.15</v>
      </c>
      <c r="L478" s="1" t="s">
        <v>17</v>
      </c>
      <c r="M478" s="1" t="s">
        <v>1507</v>
      </c>
      <c r="N478" s="1" t="s">
        <v>695</v>
      </c>
      <c r="O478" s="1" t="str">
        <f t="shared" si="34"/>
        <v>Medium</v>
      </c>
      <c r="P478" s="1" t="str">
        <f t="shared" si="33"/>
        <v>Sustained</v>
      </c>
    </row>
    <row r="479" spans="1:16" x14ac:dyDescent="0.3">
      <c r="A479" s="7" t="s">
        <v>1501</v>
      </c>
      <c r="B479" s="12" t="s">
        <v>1502</v>
      </c>
      <c r="C479" s="1" t="s">
        <v>1503</v>
      </c>
      <c r="D479" s="1" t="s">
        <v>1504</v>
      </c>
      <c r="E479" s="1" t="s">
        <v>1508</v>
      </c>
      <c r="F479" s="1">
        <v>220</v>
      </c>
      <c r="G479" s="1" t="str">
        <f t="shared" si="32"/>
        <v>Transmission</v>
      </c>
      <c r="H479" s="1" t="s">
        <v>47</v>
      </c>
      <c r="I479" s="1" t="s">
        <v>64</v>
      </c>
      <c r="J479" s="7" t="s">
        <v>1509</v>
      </c>
      <c r="K479" s="1">
        <v>0.53</v>
      </c>
      <c r="L479" s="1" t="s">
        <v>1510</v>
      </c>
      <c r="M479" s="1" t="s">
        <v>1507</v>
      </c>
      <c r="N479" s="1" t="s">
        <v>695</v>
      </c>
      <c r="O479" s="1" t="str">
        <f t="shared" si="34"/>
        <v>High</v>
      </c>
      <c r="P479" s="1" t="str">
        <f t="shared" si="33"/>
        <v>Permanent</v>
      </c>
    </row>
    <row r="480" spans="1:16" x14ac:dyDescent="0.3">
      <c r="A480" s="7" t="s">
        <v>1511</v>
      </c>
      <c r="B480" s="12" t="s">
        <v>734</v>
      </c>
      <c r="C480" s="1" t="s">
        <v>1512</v>
      </c>
      <c r="D480" s="1" t="s">
        <v>551</v>
      </c>
      <c r="E480" s="1" t="s">
        <v>1513</v>
      </c>
      <c r="F480" s="1" t="s">
        <v>1514</v>
      </c>
      <c r="G480" s="1" t="str">
        <f t="shared" si="32"/>
        <v>Transmission</v>
      </c>
      <c r="H480" s="1" t="s">
        <v>47</v>
      </c>
      <c r="I480" s="1" t="s">
        <v>64</v>
      </c>
      <c r="J480" s="7" t="s">
        <v>1515</v>
      </c>
      <c r="K480" s="1">
        <v>0.45</v>
      </c>
      <c r="L480" s="1" t="s">
        <v>17</v>
      </c>
      <c r="M480" s="1" t="s">
        <v>1516</v>
      </c>
      <c r="N480" s="1" t="s">
        <v>695</v>
      </c>
      <c r="O480" s="1" t="str">
        <f t="shared" si="34"/>
        <v>Medium</v>
      </c>
      <c r="P480" s="1" t="str">
        <f t="shared" si="33"/>
        <v>Sustained</v>
      </c>
    </row>
    <row r="481" spans="1:16" x14ac:dyDescent="0.3">
      <c r="A481" s="7" t="s">
        <v>1511</v>
      </c>
      <c r="B481" s="12" t="s">
        <v>1517</v>
      </c>
      <c r="C481" s="1" t="s">
        <v>1518</v>
      </c>
      <c r="D481" s="1" t="s">
        <v>1519</v>
      </c>
      <c r="E481" s="1" t="s">
        <v>1520</v>
      </c>
      <c r="F481" s="1">
        <v>132</v>
      </c>
      <c r="G481" s="1" t="str">
        <f t="shared" si="32"/>
        <v>Transmission</v>
      </c>
      <c r="H481" s="1" t="s">
        <v>21</v>
      </c>
      <c r="I481" s="1" t="s">
        <v>64</v>
      </c>
      <c r="J481" s="7" t="s">
        <v>1521</v>
      </c>
      <c r="K481" s="1">
        <v>0.05</v>
      </c>
      <c r="L481" s="1" t="s">
        <v>17</v>
      </c>
      <c r="M481" s="1" t="s">
        <v>1522</v>
      </c>
      <c r="N481" s="1" t="s">
        <v>695</v>
      </c>
      <c r="O481" s="1" t="str">
        <f t="shared" si="34"/>
        <v>Low</v>
      </c>
      <c r="P481" s="1" t="str">
        <f t="shared" si="33"/>
        <v>Transient</v>
      </c>
    </row>
    <row r="482" spans="1:16" x14ac:dyDescent="0.3">
      <c r="A482" s="7" t="s">
        <v>1511</v>
      </c>
      <c r="B482" s="12" t="s">
        <v>1523</v>
      </c>
      <c r="C482" s="1" t="s">
        <v>1524</v>
      </c>
      <c r="D482" s="1" t="s">
        <v>1525</v>
      </c>
      <c r="E482" s="1" t="s">
        <v>1526</v>
      </c>
      <c r="F482" s="1">
        <v>132</v>
      </c>
      <c r="G482" s="1" t="str">
        <f t="shared" si="32"/>
        <v>Transmission</v>
      </c>
      <c r="H482" s="1" t="s">
        <v>14</v>
      </c>
      <c r="I482" s="1" t="s">
        <v>64</v>
      </c>
      <c r="J482" s="7" t="s">
        <v>1527</v>
      </c>
      <c r="K482" s="1">
        <v>0.03</v>
      </c>
      <c r="L482" s="1" t="s">
        <v>1528</v>
      </c>
      <c r="M482" s="1" t="s">
        <v>382</v>
      </c>
      <c r="N482" s="1" t="s">
        <v>695</v>
      </c>
      <c r="O482" s="1" t="str">
        <f t="shared" si="34"/>
        <v>Low</v>
      </c>
      <c r="P482" s="1" t="str">
        <f t="shared" si="33"/>
        <v>Transient</v>
      </c>
    </row>
    <row r="483" spans="1:16" x14ac:dyDescent="0.3">
      <c r="A483" s="7" t="s">
        <v>1511</v>
      </c>
      <c r="B483" s="12" t="s">
        <v>1529</v>
      </c>
      <c r="C483" s="1" t="s">
        <v>1530</v>
      </c>
      <c r="D483" s="1" t="s">
        <v>1212</v>
      </c>
      <c r="E483" s="1" t="s">
        <v>1531</v>
      </c>
      <c r="F483" s="1">
        <v>400</v>
      </c>
      <c r="G483" s="1" t="str">
        <f t="shared" si="32"/>
        <v>Transmission</v>
      </c>
      <c r="H483" s="1" t="s">
        <v>47</v>
      </c>
      <c r="I483" s="1" t="s">
        <v>64</v>
      </c>
      <c r="J483" s="7" t="s">
        <v>1532</v>
      </c>
      <c r="K483" s="1">
        <v>1.08</v>
      </c>
      <c r="L483" s="1" t="s">
        <v>17</v>
      </c>
      <c r="M483" s="1" t="s">
        <v>382</v>
      </c>
      <c r="N483" s="1" t="s">
        <v>695</v>
      </c>
      <c r="O483" s="1" t="str">
        <f t="shared" si="34"/>
        <v>High</v>
      </c>
      <c r="P483" s="1" t="str">
        <f t="shared" si="33"/>
        <v>Permanent</v>
      </c>
    </row>
    <row r="484" spans="1:16" x14ac:dyDescent="0.3">
      <c r="A484" s="7" t="s">
        <v>1511</v>
      </c>
      <c r="B484" s="12" t="s">
        <v>1529</v>
      </c>
      <c r="C484" s="1" t="s">
        <v>1530</v>
      </c>
      <c r="D484" s="1" t="s">
        <v>1212</v>
      </c>
      <c r="E484" s="1" t="s">
        <v>355</v>
      </c>
      <c r="F484" s="1">
        <v>400</v>
      </c>
      <c r="G484" s="1" t="str">
        <f t="shared" si="32"/>
        <v>Transmission</v>
      </c>
      <c r="H484" s="1" t="s">
        <v>47</v>
      </c>
      <c r="I484" s="1" t="s">
        <v>64</v>
      </c>
      <c r="J484" s="7" t="s">
        <v>1533</v>
      </c>
      <c r="K484" s="1">
        <v>1.32</v>
      </c>
      <c r="L484" s="1" t="s">
        <v>17</v>
      </c>
      <c r="M484" s="1" t="s">
        <v>382</v>
      </c>
      <c r="N484" s="1" t="s">
        <v>695</v>
      </c>
      <c r="O484" s="1" t="str">
        <f t="shared" si="34"/>
        <v>High</v>
      </c>
      <c r="P484" s="1" t="str">
        <f t="shared" si="33"/>
        <v>Permanent</v>
      </c>
    </row>
    <row r="485" spans="1:16" x14ac:dyDescent="0.3">
      <c r="A485" s="7" t="s">
        <v>1540</v>
      </c>
      <c r="B485" s="12" t="s">
        <v>873</v>
      </c>
      <c r="C485" s="1" t="s">
        <v>1541</v>
      </c>
      <c r="D485" s="1" t="s">
        <v>1440</v>
      </c>
      <c r="E485" s="1" t="s">
        <v>689</v>
      </c>
      <c r="F485" s="1">
        <v>132</v>
      </c>
      <c r="G485" s="1" t="str">
        <f t="shared" ref="G485:G548" si="35">IF(F485&gt;=132,"Transmission",IF(F485&gt;=66,"Sub-Transmission","Distribution"))</f>
        <v>Transmission</v>
      </c>
      <c r="H485" s="1" t="s">
        <v>21</v>
      </c>
      <c r="I485" s="1" t="s">
        <v>1542</v>
      </c>
      <c r="J485" s="7" t="s">
        <v>1384</v>
      </c>
      <c r="K485" s="1">
        <v>0.02</v>
      </c>
      <c r="L485" s="1" t="s">
        <v>1267</v>
      </c>
      <c r="M485" s="1" t="s">
        <v>1543</v>
      </c>
      <c r="N485" s="1" t="s">
        <v>695</v>
      </c>
      <c r="O485" s="1" t="str">
        <f t="shared" si="34"/>
        <v>Low</v>
      </c>
      <c r="P485" s="1" t="str">
        <f t="shared" ref="P485:P548" si="36">IF(O485="Low","Transient",IF(O485="Medium","Sustained",IF(O485="High","Permanent")))</f>
        <v>Transient</v>
      </c>
    </row>
    <row r="486" spans="1:16" x14ac:dyDescent="0.3">
      <c r="A486" s="7" t="s">
        <v>1540</v>
      </c>
      <c r="B486" s="12" t="s">
        <v>1544</v>
      </c>
      <c r="C486" s="1" t="s">
        <v>1545</v>
      </c>
      <c r="D486" s="1" t="s">
        <v>1212</v>
      </c>
      <c r="E486" s="1" t="s">
        <v>352</v>
      </c>
      <c r="F486" s="1">
        <v>400</v>
      </c>
      <c r="G486" s="1" t="str">
        <f t="shared" si="35"/>
        <v>Transmission</v>
      </c>
      <c r="H486" s="1" t="s">
        <v>21</v>
      </c>
      <c r="I486" s="1" t="s">
        <v>15</v>
      </c>
      <c r="J486" s="7" t="s">
        <v>1546</v>
      </c>
      <c r="K486" s="1">
        <v>1.4</v>
      </c>
      <c r="L486" s="1" t="s">
        <v>17</v>
      </c>
      <c r="M486" s="1" t="s">
        <v>382</v>
      </c>
      <c r="N486" s="1" t="s">
        <v>695</v>
      </c>
      <c r="O486" s="1" t="str">
        <f t="shared" si="34"/>
        <v>High</v>
      </c>
      <c r="P486" s="1" t="str">
        <f t="shared" si="36"/>
        <v>Permanent</v>
      </c>
    </row>
    <row r="487" spans="1:16" x14ac:dyDescent="0.3">
      <c r="A487" s="7" t="s">
        <v>1540</v>
      </c>
      <c r="B487" s="12" t="s">
        <v>1544</v>
      </c>
      <c r="C487" s="1" t="s">
        <v>1545</v>
      </c>
      <c r="D487" s="1" t="s">
        <v>1212</v>
      </c>
      <c r="E487" s="1" t="s">
        <v>355</v>
      </c>
      <c r="F487" s="1">
        <v>400</v>
      </c>
      <c r="G487" s="1" t="str">
        <f t="shared" si="35"/>
        <v>Transmission</v>
      </c>
      <c r="H487" s="1" t="s">
        <v>21</v>
      </c>
      <c r="I487" s="1" t="s">
        <v>15</v>
      </c>
      <c r="J487" s="7" t="s">
        <v>310</v>
      </c>
      <c r="K487" s="1">
        <v>0</v>
      </c>
      <c r="L487" s="1" t="s">
        <v>356</v>
      </c>
      <c r="M487" s="1" t="s">
        <v>382</v>
      </c>
      <c r="N487" s="1" t="s">
        <v>695</v>
      </c>
      <c r="O487" s="1" t="str">
        <f t="shared" si="34"/>
        <v>Low</v>
      </c>
      <c r="P487" s="1" t="str">
        <f t="shared" si="36"/>
        <v>Transient</v>
      </c>
    </row>
    <row r="488" spans="1:16" x14ac:dyDescent="0.3">
      <c r="A488" s="7" t="s">
        <v>1540</v>
      </c>
      <c r="B488" s="12" t="s">
        <v>1547</v>
      </c>
      <c r="C488" s="1" t="s">
        <v>1545</v>
      </c>
      <c r="D488" s="1" t="s">
        <v>1548</v>
      </c>
      <c r="E488" s="1" t="s">
        <v>1549</v>
      </c>
      <c r="F488" s="1">
        <v>220</v>
      </c>
      <c r="G488" s="1" t="str">
        <f t="shared" si="35"/>
        <v>Transmission</v>
      </c>
      <c r="H488" s="1" t="s">
        <v>47</v>
      </c>
      <c r="I488" s="1" t="s">
        <v>15</v>
      </c>
      <c r="J488" s="7" t="s">
        <v>1550</v>
      </c>
      <c r="K488" s="1">
        <v>0.72</v>
      </c>
      <c r="L488" s="1" t="s">
        <v>832</v>
      </c>
      <c r="M488" s="1" t="s">
        <v>382</v>
      </c>
      <c r="N488" s="1" t="s">
        <v>695</v>
      </c>
      <c r="O488" s="1" t="str">
        <f t="shared" si="34"/>
        <v>High</v>
      </c>
      <c r="P488" s="1" t="str">
        <f t="shared" si="36"/>
        <v>Permanent</v>
      </c>
    </row>
    <row r="489" spans="1:16" x14ac:dyDescent="0.3">
      <c r="A489" s="7" t="s">
        <v>1540</v>
      </c>
      <c r="B489" s="12" t="s">
        <v>1547</v>
      </c>
      <c r="C489" s="1" t="s">
        <v>1545</v>
      </c>
      <c r="D489" s="1" t="s">
        <v>1548</v>
      </c>
      <c r="E489" s="1" t="s">
        <v>1551</v>
      </c>
      <c r="F489" s="1">
        <v>220</v>
      </c>
      <c r="G489" s="1" t="str">
        <f t="shared" si="35"/>
        <v>Transmission</v>
      </c>
      <c r="H489" s="1" t="s">
        <v>47</v>
      </c>
      <c r="I489" s="1" t="s">
        <v>15</v>
      </c>
      <c r="J489" s="7" t="s">
        <v>1550</v>
      </c>
      <c r="K489" s="1">
        <v>0.72</v>
      </c>
      <c r="L489" s="1" t="s">
        <v>415</v>
      </c>
      <c r="M489" s="1" t="s">
        <v>382</v>
      </c>
      <c r="N489" s="1" t="s">
        <v>695</v>
      </c>
      <c r="O489" s="1" t="str">
        <f t="shared" si="34"/>
        <v>High</v>
      </c>
      <c r="P489" s="1" t="str">
        <f t="shared" si="36"/>
        <v>Permanent</v>
      </c>
    </row>
    <row r="490" spans="1:16" x14ac:dyDescent="0.3">
      <c r="A490" s="7" t="s">
        <v>1552</v>
      </c>
      <c r="B490" s="12" t="s">
        <v>1553</v>
      </c>
      <c r="C490" s="1" t="s">
        <v>1554</v>
      </c>
      <c r="D490" s="1" t="s">
        <v>1435</v>
      </c>
      <c r="E490" s="1" t="s">
        <v>1555</v>
      </c>
      <c r="F490" s="1">
        <v>132</v>
      </c>
      <c r="G490" s="1" t="str">
        <f t="shared" si="35"/>
        <v>Transmission</v>
      </c>
      <c r="H490" s="1" t="s">
        <v>21</v>
      </c>
      <c r="I490" s="1" t="s">
        <v>64</v>
      </c>
      <c r="J490" s="7" t="s">
        <v>1431</v>
      </c>
      <c r="K490" s="1">
        <v>0.02</v>
      </c>
      <c r="L490" s="1" t="s">
        <v>17</v>
      </c>
      <c r="M490" s="1" t="s">
        <v>1556</v>
      </c>
      <c r="N490" s="1" t="s">
        <v>695</v>
      </c>
      <c r="O490" s="1" t="str">
        <f t="shared" si="34"/>
        <v>Low</v>
      </c>
      <c r="P490" s="1" t="str">
        <f t="shared" si="36"/>
        <v>Transient</v>
      </c>
    </row>
    <row r="491" spans="1:16" x14ac:dyDescent="0.3">
      <c r="A491" s="7" t="s">
        <v>1552</v>
      </c>
      <c r="B491" s="12" t="s">
        <v>779</v>
      </c>
      <c r="C491" s="1" t="s">
        <v>1557</v>
      </c>
      <c r="D491" s="1" t="s">
        <v>1558</v>
      </c>
      <c r="E491" s="1" t="s">
        <v>1559</v>
      </c>
      <c r="F491" s="1">
        <v>132</v>
      </c>
      <c r="G491" s="1" t="str">
        <f t="shared" si="35"/>
        <v>Transmission</v>
      </c>
      <c r="H491" s="1" t="s">
        <v>21</v>
      </c>
      <c r="I491" s="1" t="s">
        <v>1449</v>
      </c>
      <c r="J491" s="9">
        <v>0.22777777777777777</v>
      </c>
      <c r="K491" s="1">
        <v>6.25</v>
      </c>
      <c r="L491" s="1" t="s">
        <v>1560</v>
      </c>
      <c r="M491" s="1" t="s">
        <v>1561</v>
      </c>
      <c r="N491" s="1" t="s">
        <v>695</v>
      </c>
      <c r="O491" s="1" t="str">
        <f t="shared" si="34"/>
        <v>High</v>
      </c>
      <c r="P491" s="1" t="str">
        <f t="shared" si="36"/>
        <v>Permanent</v>
      </c>
    </row>
    <row r="492" spans="1:16" x14ac:dyDescent="0.3">
      <c r="A492" s="7" t="s">
        <v>1438</v>
      </c>
      <c r="B492" s="12" t="s">
        <v>542</v>
      </c>
      <c r="C492" s="1" t="s">
        <v>1562</v>
      </c>
      <c r="D492" s="1" t="s">
        <v>1563</v>
      </c>
      <c r="E492" s="1" t="s">
        <v>826</v>
      </c>
      <c r="F492" s="1">
        <v>220</v>
      </c>
      <c r="G492" s="1" t="str">
        <f t="shared" si="35"/>
        <v>Transmission</v>
      </c>
      <c r="H492" s="1" t="s">
        <v>21</v>
      </c>
      <c r="I492" s="1" t="s">
        <v>64</v>
      </c>
      <c r="J492" s="7" t="s">
        <v>843</v>
      </c>
      <c r="K492" s="1">
        <v>0.05</v>
      </c>
      <c r="L492" s="1" t="s">
        <v>17</v>
      </c>
      <c r="M492" s="1" t="s">
        <v>788</v>
      </c>
      <c r="N492" s="1" t="s">
        <v>695</v>
      </c>
      <c r="O492" s="1" t="str">
        <f t="shared" si="34"/>
        <v>Low</v>
      </c>
      <c r="P492" s="1" t="str">
        <f t="shared" si="36"/>
        <v>Transient</v>
      </c>
    </row>
    <row r="493" spans="1:16" x14ac:dyDescent="0.3">
      <c r="A493" s="7" t="s">
        <v>1438</v>
      </c>
      <c r="B493" s="12" t="s">
        <v>542</v>
      </c>
      <c r="C493" s="1" t="s">
        <v>1562</v>
      </c>
      <c r="D493" s="1" t="s">
        <v>1564</v>
      </c>
      <c r="E493" s="1" t="s">
        <v>445</v>
      </c>
      <c r="F493" s="1">
        <v>220</v>
      </c>
      <c r="G493" s="1" t="str">
        <f t="shared" si="35"/>
        <v>Transmission</v>
      </c>
      <c r="H493" s="1" t="s">
        <v>21</v>
      </c>
      <c r="I493" s="1" t="s">
        <v>64</v>
      </c>
      <c r="J493" s="7" t="s">
        <v>1565</v>
      </c>
      <c r="K493" s="1">
        <v>0.88</v>
      </c>
      <c r="L493" s="1" t="s">
        <v>1566</v>
      </c>
      <c r="M493" s="1" t="s">
        <v>788</v>
      </c>
      <c r="N493" s="1" t="s">
        <v>695</v>
      </c>
      <c r="O493" s="1" t="str">
        <f t="shared" si="34"/>
        <v>High</v>
      </c>
      <c r="P493" s="1" t="str">
        <f t="shared" si="36"/>
        <v>Permanent</v>
      </c>
    </row>
    <row r="494" spans="1:16" x14ac:dyDescent="0.3">
      <c r="A494" s="7" t="s">
        <v>1462</v>
      </c>
      <c r="B494" s="12" t="s">
        <v>1489</v>
      </c>
      <c r="C494" s="1" t="s">
        <v>1567</v>
      </c>
      <c r="D494" s="1" t="s">
        <v>1568</v>
      </c>
      <c r="E494" s="1" t="s">
        <v>1569</v>
      </c>
      <c r="F494" s="1">
        <v>132</v>
      </c>
      <c r="G494" s="1" t="str">
        <f t="shared" si="35"/>
        <v>Transmission</v>
      </c>
      <c r="H494" s="1" t="s">
        <v>14</v>
      </c>
      <c r="I494" s="1" t="s">
        <v>15</v>
      </c>
      <c r="J494" s="7" t="s">
        <v>1493</v>
      </c>
      <c r="K494" s="1">
        <v>5.13</v>
      </c>
      <c r="L494" s="1" t="s">
        <v>579</v>
      </c>
      <c r="M494" s="1" t="s">
        <v>1570</v>
      </c>
      <c r="N494" s="1" t="s">
        <v>695</v>
      </c>
      <c r="O494" s="1" t="str">
        <f t="shared" si="34"/>
        <v>High</v>
      </c>
      <c r="P494" s="1" t="str">
        <f t="shared" si="36"/>
        <v>Permanent</v>
      </c>
    </row>
    <row r="495" spans="1:16" x14ac:dyDescent="0.3">
      <c r="A495" s="7" t="s">
        <v>1571</v>
      </c>
      <c r="B495" s="12" t="s">
        <v>1572</v>
      </c>
      <c r="C495" s="1" t="s">
        <v>1573</v>
      </c>
      <c r="D495" s="1" t="s">
        <v>1574</v>
      </c>
      <c r="E495" s="1" t="s">
        <v>1575</v>
      </c>
      <c r="F495" s="1">
        <v>220</v>
      </c>
      <c r="G495" s="1" t="str">
        <f t="shared" si="35"/>
        <v>Transmission</v>
      </c>
      <c r="H495" s="1" t="s">
        <v>14</v>
      </c>
      <c r="I495" s="1" t="s">
        <v>15</v>
      </c>
      <c r="J495" s="7" t="s">
        <v>1576</v>
      </c>
      <c r="K495" s="1">
        <v>4.5</v>
      </c>
      <c r="L495" s="1" t="s">
        <v>1577</v>
      </c>
      <c r="M495" s="1" t="s">
        <v>1578</v>
      </c>
      <c r="N495" s="1" t="s">
        <v>781</v>
      </c>
      <c r="O495" s="1" t="str">
        <f t="shared" si="34"/>
        <v>High</v>
      </c>
      <c r="P495" s="1" t="str">
        <f t="shared" si="36"/>
        <v>Permanent</v>
      </c>
    </row>
    <row r="496" spans="1:16" x14ac:dyDescent="0.3">
      <c r="A496" s="7" t="s">
        <v>1571</v>
      </c>
      <c r="B496" s="12" t="s">
        <v>1572</v>
      </c>
      <c r="C496" s="1" t="s">
        <v>1573</v>
      </c>
      <c r="D496" s="1" t="s">
        <v>1579</v>
      </c>
      <c r="E496" s="1" t="s">
        <v>1580</v>
      </c>
      <c r="F496" s="1">
        <v>220</v>
      </c>
      <c r="G496" s="1" t="str">
        <f t="shared" si="35"/>
        <v>Transmission</v>
      </c>
      <c r="H496" s="1" t="s">
        <v>14</v>
      </c>
      <c r="I496" s="1" t="s">
        <v>15</v>
      </c>
      <c r="J496" s="7" t="s">
        <v>1581</v>
      </c>
      <c r="K496" s="1">
        <v>4.55</v>
      </c>
      <c r="L496" s="1" t="s">
        <v>1577</v>
      </c>
      <c r="M496" s="1" t="s">
        <v>1582</v>
      </c>
      <c r="N496" s="1" t="s">
        <v>781</v>
      </c>
      <c r="O496" s="1" t="str">
        <f t="shared" si="34"/>
        <v>High</v>
      </c>
      <c r="P496" s="1" t="str">
        <f t="shared" si="36"/>
        <v>Permanent</v>
      </c>
    </row>
    <row r="497" spans="1:16" x14ac:dyDescent="0.3">
      <c r="A497" s="7" t="s">
        <v>1571</v>
      </c>
      <c r="B497" s="12" t="s">
        <v>1572</v>
      </c>
      <c r="C497" s="1" t="s">
        <v>1573</v>
      </c>
      <c r="D497" s="1" t="s">
        <v>78</v>
      </c>
      <c r="E497" s="1" t="s">
        <v>1583</v>
      </c>
      <c r="F497" s="1">
        <v>220</v>
      </c>
      <c r="G497" s="1" t="str">
        <f t="shared" si="35"/>
        <v>Transmission</v>
      </c>
      <c r="H497" s="1" t="s">
        <v>14</v>
      </c>
      <c r="I497" s="1" t="s">
        <v>15</v>
      </c>
      <c r="J497" s="7" t="s">
        <v>1584</v>
      </c>
      <c r="K497" s="1">
        <v>4.5199999999999996</v>
      </c>
      <c r="L497" s="1" t="s">
        <v>1577</v>
      </c>
      <c r="M497" s="1" t="s">
        <v>1585</v>
      </c>
      <c r="N497" s="1" t="s">
        <v>781</v>
      </c>
      <c r="O497" s="1" t="str">
        <f t="shared" si="34"/>
        <v>High</v>
      </c>
      <c r="P497" s="1" t="str">
        <f t="shared" si="36"/>
        <v>Permanent</v>
      </c>
    </row>
    <row r="498" spans="1:16" x14ac:dyDescent="0.3">
      <c r="A498" s="7" t="s">
        <v>1571</v>
      </c>
      <c r="B498" s="12" t="s">
        <v>1572</v>
      </c>
      <c r="C498" s="1" t="s">
        <v>1573</v>
      </c>
      <c r="D498" s="1" t="s">
        <v>78</v>
      </c>
      <c r="E498" s="1" t="s">
        <v>1587</v>
      </c>
      <c r="F498" s="1">
        <v>220</v>
      </c>
      <c r="G498" s="1" t="str">
        <f t="shared" si="35"/>
        <v>Transmission</v>
      </c>
      <c r="H498" s="1" t="s">
        <v>14</v>
      </c>
      <c r="I498" s="1" t="s">
        <v>15</v>
      </c>
      <c r="J498" s="7" t="s">
        <v>1581</v>
      </c>
      <c r="K498" s="1">
        <v>4.55</v>
      </c>
      <c r="L498" s="1" t="s">
        <v>1577</v>
      </c>
      <c r="M498" s="1" t="s">
        <v>1588</v>
      </c>
      <c r="N498" s="1" t="s">
        <v>781</v>
      </c>
      <c r="O498" s="1" t="str">
        <f t="shared" si="34"/>
        <v>High</v>
      </c>
      <c r="P498" s="1" t="str">
        <f t="shared" si="36"/>
        <v>Permanent</v>
      </c>
    </row>
    <row r="499" spans="1:16" x14ac:dyDescent="0.3">
      <c r="A499" s="7" t="s">
        <v>1571</v>
      </c>
      <c r="B499" s="12" t="s">
        <v>1572</v>
      </c>
      <c r="C499" s="1" t="s">
        <v>1573</v>
      </c>
      <c r="D499" s="1" t="s">
        <v>78</v>
      </c>
      <c r="E499" s="1" t="s">
        <v>1590</v>
      </c>
      <c r="F499" s="1">
        <v>220</v>
      </c>
      <c r="G499" s="1" t="str">
        <f t="shared" si="35"/>
        <v>Transmission</v>
      </c>
      <c r="H499" s="1" t="s">
        <v>14</v>
      </c>
      <c r="I499" s="1" t="s">
        <v>15</v>
      </c>
      <c r="J499" s="7" t="s">
        <v>787</v>
      </c>
      <c r="K499" s="1">
        <v>4.53</v>
      </c>
      <c r="L499" s="1" t="s">
        <v>1577</v>
      </c>
      <c r="M499" s="1" t="s">
        <v>1591</v>
      </c>
      <c r="N499" s="1" t="s">
        <v>781</v>
      </c>
      <c r="O499" s="1" t="str">
        <f t="shared" si="34"/>
        <v>High</v>
      </c>
      <c r="P499" s="1" t="str">
        <f t="shared" si="36"/>
        <v>Permanent</v>
      </c>
    </row>
    <row r="500" spans="1:16" x14ac:dyDescent="0.3">
      <c r="A500" s="7" t="s">
        <v>1571</v>
      </c>
      <c r="B500" s="12" t="s">
        <v>1572</v>
      </c>
      <c r="C500" s="1" t="s">
        <v>1573</v>
      </c>
      <c r="D500" s="1" t="s">
        <v>78</v>
      </c>
      <c r="E500" s="1" t="s">
        <v>1593</v>
      </c>
      <c r="F500" s="1">
        <v>220</v>
      </c>
      <c r="G500" s="1" t="str">
        <f t="shared" si="35"/>
        <v>Transmission</v>
      </c>
      <c r="H500" s="1" t="s">
        <v>14</v>
      </c>
      <c r="I500" s="1" t="s">
        <v>15</v>
      </c>
      <c r="J500" s="7" t="s">
        <v>1584</v>
      </c>
      <c r="K500" s="1">
        <v>4.5199999999999996</v>
      </c>
      <c r="L500" s="1" t="s">
        <v>1577</v>
      </c>
      <c r="M500" s="1" t="s">
        <v>1594</v>
      </c>
      <c r="N500" s="1" t="s">
        <v>781</v>
      </c>
      <c r="O500" s="1" t="str">
        <f t="shared" si="34"/>
        <v>High</v>
      </c>
      <c r="P500" s="1" t="str">
        <f t="shared" si="36"/>
        <v>Permanent</v>
      </c>
    </row>
    <row r="501" spans="1:16" x14ac:dyDescent="0.3">
      <c r="A501" s="7" t="s">
        <v>1596</v>
      </c>
      <c r="B501" s="12" t="s">
        <v>1597</v>
      </c>
      <c r="C501" s="1" t="s">
        <v>1598</v>
      </c>
      <c r="D501" s="1" t="s">
        <v>1504</v>
      </c>
      <c r="E501" s="1" t="s">
        <v>1599</v>
      </c>
      <c r="F501" s="1">
        <v>220</v>
      </c>
      <c r="G501" s="1" t="str">
        <f t="shared" si="35"/>
        <v>Transmission</v>
      </c>
      <c r="H501" s="1" t="s">
        <v>47</v>
      </c>
      <c r="I501" s="1" t="s">
        <v>15</v>
      </c>
      <c r="J501" s="7" t="s">
        <v>1600</v>
      </c>
      <c r="K501" s="1">
        <v>0.1</v>
      </c>
      <c r="L501" s="1" t="s">
        <v>17</v>
      </c>
      <c r="M501" s="1" t="s">
        <v>382</v>
      </c>
      <c r="N501" s="1" t="s">
        <v>781</v>
      </c>
      <c r="O501" s="1" t="str">
        <f t="shared" si="34"/>
        <v>Medium</v>
      </c>
      <c r="P501" s="1" t="str">
        <f t="shared" si="36"/>
        <v>Sustained</v>
      </c>
    </row>
    <row r="502" spans="1:16" x14ac:dyDescent="0.3">
      <c r="A502" s="7" t="s">
        <v>1596</v>
      </c>
      <c r="B502" s="12" t="s">
        <v>1597</v>
      </c>
      <c r="C502" s="1" t="s">
        <v>1598</v>
      </c>
      <c r="D502" s="1" t="s">
        <v>1601</v>
      </c>
      <c r="E502" s="1" t="s">
        <v>1602</v>
      </c>
      <c r="F502" s="1">
        <v>220</v>
      </c>
      <c r="G502" s="1" t="str">
        <f t="shared" si="35"/>
        <v>Transmission</v>
      </c>
      <c r="H502" s="1" t="s">
        <v>47</v>
      </c>
      <c r="I502" s="1" t="s">
        <v>15</v>
      </c>
      <c r="J502" s="7" t="s">
        <v>1600</v>
      </c>
      <c r="K502" s="1">
        <v>0.1</v>
      </c>
      <c r="L502" s="1" t="s">
        <v>17</v>
      </c>
      <c r="M502" s="1" t="s">
        <v>382</v>
      </c>
      <c r="N502" s="1" t="s">
        <v>781</v>
      </c>
      <c r="O502" s="1" t="str">
        <f t="shared" ref="O502:O529" si="37">IF(K502&lt;=0.083,"Low",IF(K502&lt;=0.5,"Medium",IF(K502&gt;0.5,"High")))</f>
        <v>Medium</v>
      </c>
      <c r="P502" s="1" t="str">
        <f t="shared" si="36"/>
        <v>Sustained</v>
      </c>
    </row>
    <row r="503" spans="1:16" x14ac:dyDescent="0.3">
      <c r="A503" s="7" t="s">
        <v>1603</v>
      </c>
      <c r="B503" s="12" t="s">
        <v>1331</v>
      </c>
      <c r="C503" s="1" t="s">
        <v>1604</v>
      </c>
      <c r="D503" s="1" t="s">
        <v>1574</v>
      </c>
      <c r="E503" s="1" t="s">
        <v>1575</v>
      </c>
      <c r="F503" s="1">
        <v>220</v>
      </c>
      <c r="G503" s="1" t="str">
        <f t="shared" si="35"/>
        <v>Transmission</v>
      </c>
      <c r="H503" s="1" t="s">
        <v>47</v>
      </c>
      <c r="I503" s="1" t="s">
        <v>15</v>
      </c>
      <c r="J503" s="7" t="s">
        <v>1605</v>
      </c>
      <c r="K503" s="1">
        <v>1.1299999999999999</v>
      </c>
      <c r="L503" s="1" t="s">
        <v>1577</v>
      </c>
      <c r="M503" s="1" t="s">
        <v>1606</v>
      </c>
      <c r="N503" s="1" t="s">
        <v>781</v>
      </c>
      <c r="O503" s="1" t="str">
        <f t="shared" si="37"/>
        <v>High</v>
      </c>
      <c r="P503" s="1" t="str">
        <f t="shared" si="36"/>
        <v>Permanent</v>
      </c>
    </row>
    <row r="504" spans="1:16" x14ac:dyDescent="0.3">
      <c r="A504" s="7" t="s">
        <v>1603</v>
      </c>
      <c r="B504" s="12" t="s">
        <v>1331</v>
      </c>
      <c r="C504" s="1" t="s">
        <v>1604</v>
      </c>
      <c r="D504" s="1" t="s">
        <v>78</v>
      </c>
      <c r="E504" s="1" t="s">
        <v>1590</v>
      </c>
      <c r="F504" s="1">
        <v>220</v>
      </c>
      <c r="G504" s="1" t="str">
        <f t="shared" si="35"/>
        <v>Transmission</v>
      </c>
      <c r="H504" s="1" t="s">
        <v>47</v>
      </c>
      <c r="I504" s="1" t="s">
        <v>15</v>
      </c>
      <c r="J504" s="7" t="s">
        <v>1610</v>
      </c>
      <c r="K504" s="1">
        <v>1.9</v>
      </c>
      <c r="L504" s="1" t="s">
        <v>1608</v>
      </c>
      <c r="M504" s="1" t="s">
        <v>898</v>
      </c>
      <c r="N504" s="1" t="s">
        <v>781</v>
      </c>
      <c r="O504" s="1" t="str">
        <f t="shared" si="37"/>
        <v>High</v>
      </c>
      <c r="P504" s="1" t="str">
        <f t="shared" si="36"/>
        <v>Permanent</v>
      </c>
    </row>
    <row r="505" spans="1:16" x14ac:dyDescent="0.3">
      <c r="A505" s="7" t="s">
        <v>1603</v>
      </c>
      <c r="B505" s="12" t="s">
        <v>1331</v>
      </c>
      <c r="C505" s="1" t="s">
        <v>1604</v>
      </c>
      <c r="D505" s="1" t="s">
        <v>78</v>
      </c>
      <c r="E505" s="1" t="s">
        <v>1593</v>
      </c>
      <c r="F505" s="1">
        <v>220</v>
      </c>
      <c r="G505" s="1" t="str">
        <f t="shared" si="35"/>
        <v>Transmission</v>
      </c>
      <c r="H505" s="1" t="s">
        <v>47</v>
      </c>
      <c r="I505" s="1" t="s">
        <v>15</v>
      </c>
      <c r="J505" s="7" t="s">
        <v>719</v>
      </c>
      <c r="K505" s="1">
        <v>5</v>
      </c>
      <c r="L505" s="1" t="s">
        <v>1608</v>
      </c>
      <c r="M505" s="1" t="s">
        <v>898</v>
      </c>
      <c r="N505" s="1" t="s">
        <v>781</v>
      </c>
      <c r="O505" s="1" t="str">
        <f t="shared" si="37"/>
        <v>High</v>
      </c>
      <c r="P505" s="1" t="str">
        <f t="shared" si="36"/>
        <v>Permanent</v>
      </c>
    </row>
    <row r="506" spans="1:16" x14ac:dyDescent="0.3">
      <c r="A506" s="7" t="s">
        <v>1611</v>
      </c>
      <c r="B506" s="12" t="s">
        <v>1612</v>
      </c>
      <c r="C506" s="1" t="s">
        <v>1613</v>
      </c>
      <c r="D506" s="1" t="s">
        <v>1614</v>
      </c>
      <c r="E506" s="1" t="s">
        <v>1615</v>
      </c>
      <c r="F506" s="1">
        <v>132</v>
      </c>
      <c r="G506" s="1" t="str">
        <f t="shared" si="35"/>
        <v>Transmission</v>
      </c>
      <c r="H506" s="1" t="s">
        <v>14</v>
      </c>
      <c r="I506" s="1" t="s">
        <v>64</v>
      </c>
      <c r="J506" s="7" t="s">
        <v>547</v>
      </c>
      <c r="K506" s="1">
        <v>0.02</v>
      </c>
      <c r="L506" s="1" t="s">
        <v>1616</v>
      </c>
      <c r="M506" s="1" t="s">
        <v>708</v>
      </c>
      <c r="N506" s="1" t="s">
        <v>781</v>
      </c>
      <c r="O506" s="1" t="str">
        <f t="shared" si="37"/>
        <v>Low</v>
      </c>
      <c r="P506" s="1" t="str">
        <f t="shared" si="36"/>
        <v>Transient</v>
      </c>
    </row>
    <row r="507" spans="1:16" x14ac:dyDescent="0.3">
      <c r="A507" s="7" t="s">
        <v>1611</v>
      </c>
      <c r="B507" s="12" t="s">
        <v>1617</v>
      </c>
      <c r="C507" s="1" t="s">
        <v>1618</v>
      </c>
      <c r="D507" s="1" t="s">
        <v>1619</v>
      </c>
      <c r="E507" s="1" t="s">
        <v>1620</v>
      </c>
      <c r="F507" s="1">
        <v>132</v>
      </c>
      <c r="G507" s="1" t="str">
        <f t="shared" si="35"/>
        <v>Transmission</v>
      </c>
      <c r="H507" s="1" t="s">
        <v>14</v>
      </c>
      <c r="I507" s="1" t="s">
        <v>15</v>
      </c>
      <c r="J507" s="7" t="s">
        <v>1621</v>
      </c>
      <c r="K507" s="1">
        <v>0.27</v>
      </c>
      <c r="L507" s="1" t="s">
        <v>17</v>
      </c>
      <c r="M507" s="1" t="s">
        <v>708</v>
      </c>
      <c r="N507" s="1" t="s">
        <v>781</v>
      </c>
      <c r="O507" s="1" t="str">
        <f t="shared" si="37"/>
        <v>Medium</v>
      </c>
      <c r="P507" s="1" t="str">
        <f t="shared" si="36"/>
        <v>Sustained</v>
      </c>
    </row>
    <row r="508" spans="1:16" x14ac:dyDescent="0.3">
      <c r="A508" s="7" t="s">
        <v>1611</v>
      </c>
      <c r="B508" s="12" t="s">
        <v>1617</v>
      </c>
      <c r="C508" s="1" t="s">
        <v>1618</v>
      </c>
      <c r="D508" s="1" t="s">
        <v>1622</v>
      </c>
      <c r="E508" s="1" t="s">
        <v>771</v>
      </c>
      <c r="F508" s="1">
        <v>132</v>
      </c>
      <c r="G508" s="1" t="str">
        <f t="shared" si="35"/>
        <v>Transmission</v>
      </c>
      <c r="H508" s="1" t="s">
        <v>14</v>
      </c>
      <c r="I508" s="1" t="s">
        <v>15</v>
      </c>
      <c r="J508" s="7" t="s">
        <v>1623</v>
      </c>
      <c r="K508" s="1">
        <v>1.25</v>
      </c>
      <c r="L508" s="1" t="s">
        <v>1624</v>
      </c>
      <c r="M508" s="1" t="s">
        <v>708</v>
      </c>
      <c r="N508" s="1" t="s">
        <v>781</v>
      </c>
      <c r="O508" s="1" t="str">
        <f t="shared" si="37"/>
        <v>High</v>
      </c>
      <c r="P508" s="1" t="str">
        <f t="shared" si="36"/>
        <v>Permanent</v>
      </c>
    </row>
    <row r="509" spans="1:16" x14ac:dyDescent="0.3">
      <c r="A509" s="7" t="s">
        <v>1611</v>
      </c>
      <c r="B509" s="12" t="s">
        <v>1629</v>
      </c>
      <c r="C509" s="1" t="s">
        <v>1625</v>
      </c>
      <c r="D509" s="1" t="s">
        <v>420</v>
      </c>
      <c r="E509" s="1" t="s">
        <v>1630</v>
      </c>
      <c r="F509" s="1">
        <v>132</v>
      </c>
      <c r="G509" s="1" t="str">
        <f t="shared" si="35"/>
        <v>Transmission</v>
      </c>
      <c r="H509" s="1" t="s">
        <v>288</v>
      </c>
      <c r="I509" s="1" t="s">
        <v>15</v>
      </c>
      <c r="J509" s="7" t="s">
        <v>1627</v>
      </c>
      <c r="K509" s="1">
        <v>1.37</v>
      </c>
      <c r="L509" s="1" t="s">
        <v>673</v>
      </c>
      <c r="M509" s="1" t="s">
        <v>1631</v>
      </c>
      <c r="N509" s="1" t="s">
        <v>781</v>
      </c>
      <c r="O509" s="1" t="str">
        <f t="shared" si="37"/>
        <v>High</v>
      </c>
      <c r="P509" s="1" t="str">
        <f t="shared" si="36"/>
        <v>Permanent</v>
      </c>
    </row>
    <row r="510" spans="1:16" x14ac:dyDescent="0.3">
      <c r="A510" s="7" t="s">
        <v>1632</v>
      </c>
      <c r="B510" s="12" t="s">
        <v>1633</v>
      </c>
      <c r="C510" s="1" t="s">
        <v>1634</v>
      </c>
      <c r="D510" s="1" t="s">
        <v>1635</v>
      </c>
      <c r="E510" s="1" t="s">
        <v>1636</v>
      </c>
      <c r="F510" s="1">
        <v>220</v>
      </c>
      <c r="G510" s="1" t="str">
        <f t="shared" si="35"/>
        <v>Transmission</v>
      </c>
      <c r="H510" s="1" t="s">
        <v>37</v>
      </c>
      <c r="I510" s="1" t="s">
        <v>15</v>
      </c>
      <c r="J510" s="7" t="s">
        <v>1637</v>
      </c>
      <c r="K510" s="1">
        <v>7.0000000000000007E-2</v>
      </c>
      <c r="L510" s="1" t="s">
        <v>17</v>
      </c>
      <c r="M510" s="1" t="s">
        <v>382</v>
      </c>
      <c r="N510" s="1" t="s">
        <v>781</v>
      </c>
      <c r="O510" s="1" t="str">
        <f t="shared" si="37"/>
        <v>Low</v>
      </c>
      <c r="P510" s="1" t="str">
        <f t="shared" si="36"/>
        <v>Transient</v>
      </c>
    </row>
    <row r="511" spans="1:16" x14ac:dyDescent="0.3">
      <c r="A511" s="7" t="s">
        <v>1632</v>
      </c>
      <c r="B511" s="12" t="s">
        <v>1633</v>
      </c>
      <c r="C511" s="1" t="s">
        <v>1634</v>
      </c>
      <c r="D511" s="1" t="s">
        <v>1638</v>
      </c>
      <c r="E511" s="1" t="s">
        <v>1639</v>
      </c>
      <c r="F511" s="1">
        <v>220</v>
      </c>
      <c r="G511" s="1" t="str">
        <f t="shared" si="35"/>
        <v>Transmission</v>
      </c>
      <c r="H511" s="1" t="s">
        <v>37</v>
      </c>
      <c r="I511" s="1" t="s">
        <v>15</v>
      </c>
      <c r="J511" s="7" t="s">
        <v>1637</v>
      </c>
      <c r="K511" s="1">
        <v>7.0000000000000007E-2</v>
      </c>
      <c r="L511" s="1" t="s">
        <v>17</v>
      </c>
      <c r="M511" s="1" t="s">
        <v>382</v>
      </c>
      <c r="N511" s="1" t="s">
        <v>781</v>
      </c>
      <c r="O511" s="1" t="str">
        <f t="shared" si="37"/>
        <v>Low</v>
      </c>
      <c r="P511" s="1" t="str">
        <f t="shared" si="36"/>
        <v>Transient</v>
      </c>
    </row>
    <row r="512" spans="1:16" x14ac:dyDescent="0.3">
      <c r="A512" s="7" t="s">
        <v>1632</v>
      </c>
      <c r="B512" s="12" t="s">
        <v>1020</v>
      </c>
      <c r="C512" s="1" t="s">
        <v>1640</v>
      </c>
      <c r="D512" s="1" t="s">
        <v>1212</v>
      </c>
      <c r="E512" s="1" t="s">
        <v>1531</v>
      </c>
      <c r="F512" s="1">
        <v>400</v>
      </c>
      <c r="G512" s="1" t="str">
        <f t="shared" si="35"/>
        <v>Transmission</v>
      </c>
      <c r="H512" s="1" t="s">
        <v>47</v>
      </c>
      <c r="I512" s="1" t="s">
        <v>64</v>
      </c>
      <c r="J512" s="7" t="s">
        <v>1641</v>
      </c>
      <c r="K512" s="1">
        <v>0.12</v>
      </c>
      <c r="L512" s="1" t="s">
        <v>17</v>
      </c>
      <c r="M512" s="1" t="s">
        <v>1642</v>
      </c>
      <c r="N512" s="1" t="s">
        <v>781</v>
      </c>
      <c r="O512" s="1" t="str">
        <f t="shared" si="37"/>
        <v>Medium</v>
      </c>
      <c r="P512" s="1" t="str">
        <f t="shared" si="36"/>
        <v>Sustained</v>
      </c>
    </row>
    <row r="513" spans="1:16" x14ac:dyDescent="0.3">
      <c r="A513" s="7" t="s">
        <v>1632</v>
      </c>
      <c r="B513" s="12" t="s">
        <v>1020</v>
      </c>
      <c r="C513" s="1" t="s">
        <v>1640</v>
      </c>
      <c r="D513" s="1" t="s">
        <v>1643</v>
      </c>
      <c r="E513" s="1" t="s">
        <v>1644</v>
      </c>
      <c r="F513" s="1">
        <v>400</v>
      </c>
      <c r="G513" s="1" t="str">
        <f t="shared" si="35"/>
        <v>Transmission</v>
      </c>
      <c r="H513" s="1" t="s">
        <v>47</v>
      </c>
      <c r="I513" s="1" t="s">
        <v>64</v>
      </c>
      <c r="J513" s="7" t="s">
        <v>1645</v>
      </c>
      <c r="K513" s="1">
        <v>0.63</v>
      </c>
      <c r="L513" s="1" t="s">
        <v>17</v>
      </c>
      <c r="M513" s="1" t="s">
        <v>382</v>
      </c>
      <c r="N513" s="1" t="s">
        <v>781</v>
      </c>
      <c r="O513" s="1" t="str">
        <f t="shared" si="37"/>
        <v>High</v>
      </c>
      <c r="P513" s="1" t="str">
        <f t="shared" si="36"/>
        <v>Permanent</v>
      </c>
    </row>
    <row r="514" spans="1:16" x14ac:dyDescent="0.3">
      <c r="A514" s="7" t="s">
        <v>1655</v>
      </c>
      <c r="B514" s="12" t="s">
        <v>1656</v>
      </c>
      <c r="C514" s="1" t="s">
        <v>1657</v>
      </c>
      <c r="D514" s="1" t="s">
        <v>1658</v>
      </c>
      <c r="E514" s="1" t="s">
        <v>1659</v>
      </c>
      <c r="F514" s="1">
        <v>132</v>
      </c>
      <c r="G514" s="1" t="str">
        <f t="shared" si="35"/>
        <v>Transmission</v>
      </c>
      <c r="H514" s="1" t="s">
        <v>14</v>
      </c>
      <c r="I514" s="1" t="s">
        <v>31</v>
      </c>
      <c r="J514" s="7" t="s">
        <v>1656</v>
      </c>
      <c r="K514" s="1">
        <v>0</v>
      </c>
      <c r="L514" s="1" t="s">
        <v>17</v>
      </c>
      <c r="M514" s="1" t="s">
        <v>1660</v>
      </c>
      <c r="N514" s="1" t="s">
        <v>781</v>
      </c>
      <c r="O514" s="1" t="str">
        <f t="shared" si="37"/>
        <v>Low</v>
      </c>
      <c r="P514" s="1" t="str">
        <f t="shared" si="36"/>
        <v>Transient</v>
      </c>
    </row>
    <row r="515" spans="1:16" x14ac:dyDescent="0.3">
      <c r="A515" s="7" t="s">
        <v>1661</v>
      </c>
      <c r="B515" s="12" t="s">
        <v>1607</v>
      </c>
      <c r="C515" s="1" t="s">
        <v>1662</v>
      </c>
      <c r="D515" s="1" t="s">
        <v>1663</v>
      </c>
      <c r="E515" s="1" t="s">
        <v>436</v>
      </c>
      <c r="F515" s="1">
        <v>220</v>
      </c>
      <c r="G515" s="1" t="str">
        <f t="shared" si="35"/>
        <v>Transmission</v>
      </c>
      <c r="H515" s="1" t="s">
        <v>47</v>
      </c>
      <c r="I515" s="1" t="s">
        <v>64</v>
      </c>
      <c r="J515" s="7" t="s">
        <v>1664</v>
      </c>
      <c r="K515" s="1">
        <v>1.25</v>
      </c>
      <c r="L515" s="1" t="s">
        <v>496</v>
      </c>
      <c r="M515" s="1" t="s">
        <v>1665</v>
      </c>
      <c r="N515" s="1" t="s">
        <v>781</v>
      </c>
      <c r="O515" s="1" t="str">
        <f t="shared" si="37"/>
        <v>High</v>
      </c>
      <c r="P515" s="1" t="str">
        <f t="shared" si="36"/>
        <v>Permanent</v>
      </c>
    </row>
    <row r="516" spans="1:16" x14ac:dyDescent="0.3">
      <c r="A516" s="7" t="s">
        <v>1661</v>
      </c>
      <c r="B516" s="12" t="s">
        <v>1607</v>
      </c>
      <c r="C516" s="1" t="s">
        <v>1662</v>
      </c>
      <c r="D516" s="1" t="s">
        <v>1666</v>
      </c>
      <c r="E516" s="1" t="s">
        <v>440</v>
      </c>
      <c r="F516" s="1">
        <v>220</v>
      </c>
      <c r="G516" s="1" t="str">
        <f t="shared" si="35"/>
        <v>Transmission</v>
      </c>
      <c r="H516" s="1" t="s">
        <v>47</v>
      </c>
      <c r="I516" s="1" t="s">
        <v>64</v>
      </c>
      <c r="J516" s="7" t="s">
        <v>1667</v>
      </c>
      <c r="K516" s="1">
        <v>1.27</v>
      </c>
      <c r="L516" s="1" t="s">
        <v>1668</v>
      </c>
      <c r="M516" s="1" t="s">
        <v>382</v>
      </c>
      <c r="N516" s="1" t="s">
        <v>781</v>
      </c>
      <c r="O516" s="1" t="str">
        <f t="shared" si="37"/>
        <v>High</v>
      </c>
      <c r="P516" s="1" t="str">
        <f t="shared" si="36"/>
        <v>Permanent</v>
      </c>
    </row>
    <row r="517" spans="1:16" x14ac:dyDescent="0.3">
      <c r="A517" s="7" t="s">
        <v>1661</v>
      </c>
      <c r="B517" s="12" t="s">
        <v>1669</v>
      </c>
      <c r="C517" s="1" t="s">
        <v>1200</v>
      </c>
      <c r="D517" s="1" t="s">
        <v>1670</v>
      </c>
      <c r="E517" s="1" t="s">
        <v>1671</v>
      </c>
      <c r="F517" s="1">
        <v>132</v>
      </c>
      <c r="G517" s="1" t="str">
        <f t="shared" si="35"/>
        <v>Transmission</v>
      </c>
      <c r="H517" s="1" t="s">
        <v>21</v>
      </c>
      <c r="I517" s="1" t="s">
        <v>64</v>
      </c>
      <c r="J517" s="7" t="s">
        <v>1669</v>
      </c>
      <c r="K517" s="1">
        <v>0</v>
      </c>
      <c r="L517" s="1" t="s">
        <v>1672</v>
      </c>
      <c r="M517" s="1" t="s">
        <v>1673</v>
      </c>
      <c r="N517" s="1" t="s">
        <v>781</v>
      </c>
      <c r="O517" s="1" t="str">
        <f t="shared" si="37"/>
        <v>Low</v>
      </c>
      <c r="P517" s="1" t="str">
        <f t="shared" si="36"/>
        <v>Transient</v>
      </c>
    </row>
    <row r="518" spans="1:16" x14ac:dyDescent="0.3">
      <c r="A518" s="7" t="s">
        <v>1674</v>
      </c>
      <c r="B518" s="12" t="s">
        <v>1675</v>
      </c>
      <c r="C518" s="1" t="s">
        <v>1676</v>
      </c>
      <c r="D518" s="1" t="s">
        <v>523</v>
      </c>
      <c r="E518" s="1" t="s">
        <v>399</v>
      </c>
      <c r="F518" s="1">
        <v>220</v>
      </c>
      <c r="G518" s="1" t="str">
        <f t="shared" si="35"/>
        <v>Transmission</v>
      </c>
      <c r="H518" s="1" t="s">
        <v>21</v>
      </c>
      <c r="I518" s="1" t="s">
        <v>31</v>
      </c>
      <c r="J518" s="7" t="s">
        <v>1677</v>
      </c>
      <c r="K518" s="1">
        <v>6.57</v>
      </c>
      <c r="L518" s="1" t="s">
        <v>1678</v>
      </c>
      <c r="M518" s="1" t="s">
        <v>1679</v>
      </c>
      <c r="N518" s="1" t="s">
        <v>781</v>
      </c>
      <c r="O518" s="1" t="str">
        <f t="shared" si="37"/>
        <v>High</v>
      </c>
      <c r="P518" s="1" t="str">
        <f t="shared" si="36"/>
        <v>Permanent</v>
      </c>
    </row>
    <row r="519" spans="1:16" x14ac:dyDescent="0.3">
      <c r="A519" s="7" t="s">
        <v>1680</v>
      </c>
      <c r="B519" s="12" t="s">
        <v>1681</v>
      </c>
      <c r="C519" s="1" t="s">
        <v>1682</v>
      </c>
      <c r="D519" s="1" t="s">
        <v>1683</v>
      </c>
      <c r="E519" s="1" t="s">
        <v>810</v>
      </c>
      <c r="F519" s="1">
        <v>132</v>
      </c>
      <c r="G519" s="1" t="str">
        <f t="shared" si="35"/>
        <v>Transmission</v>
      </c>
      <c r="H519" s="1" t="s">
        <v>21</v>
      </c>
      <c r="I519" s="1" t="s">
        <v>31</v>
      </c>
      <c r="J519" s="7" t="s">
        <v>1443</v>
      </c>
      <c r="K519" s="1">
        <v>0.53</v>
      </c>
      <c r="L519" s="1" t="s">
        <v>1684</v>
      </c>
      <c r="M519" s="1" t="s">
        <v>1685</v>
      </c>
      <c r="N519" s="1" t="s">
        <v>781</v>
      </c>
      <c r="O519" s="1" t="str">
        <f t="shared" si="37"/>
        <v>High</v>
      </c>
      <c r="P519" s="1" t="str">
        <f t="shared" si="36"/>
        <v>Permanent</v>
      </c>
    </row>
    <row r="520" spans="1:16" x14ac:dyDescent="0.3">
      <c r="A520" s="7" t="s">
        <v>1680</v>
      </c>
      <c r="B520" s="12" t="s">
        <v>1681</v>
      </c>
      <c r="C520" s="1" t="s">
        <v>1682</v>
      </c>
      <c r="D520" s="1" t="s">
        <v>1686</v>
      </c>
      <c r="E520" s="1" t="s">
        <v>811</v>
      </c>
      <c r="F520" s="1">
        <v>132</v>
      </c>
      <c r="G520" s="1" t="str">
        <f t="shared" si="35"/>
        <v>Transmission</v>
      </c>
      <c r="H520" s="1" t="s">
        <v>21</v>
      </c>
      <c r="I520" s="1" t="s">
        <v>31</v>
      </c>
      <c r="J520" s="7" t="s">
        <v>1687</v>
      </c>
      <c r="K520" s="1">
        <v>0.18</v>
      </c>
      <c r="L520" s="1" t="s">
        <v>1684</v>
      </c>
      <c r="M520" s="1" t="s">
        <v>382</v>
      </c>
      <c r="N520" s="1" t="s">
        <v>781</v>
      </c>
      <c r="O520" s="1" t="str">
        <f t="shared" si="37"/>
        <v>Medium</v>
      </c>
      <c r="P520" s="1" t="str">
        <f t="shared" si="36"/>
        <v>Sustained</v>
      </c>
    </row>
    <row r="521" spans="1:16" x14ac:dyDescent="0.3">
      <c r="A521" s="7" t="s">
        <v>1688</v>
      </c>
      <c r="B521" s="12" t="s">
        <v>1689</v>
      </c>
      <c r="C521" s="1" t="s">
        <v>1690</v>
      </c>
      <c r="D521" s="1" t="s">
        <v>1691</v>
      </c>
      <c r="E521" s="1" t="s">
        <v>1189</v>
      </c>
      <c r="F521" s="1">
        <v>400</v>
      </c>
      <c r="G521" s="1" t="str">
        <f t="shared" si="35"/>
        <v>Transmission</v>
      </c>
      <c r="H521" s="1" t="s">
        <v>37</v>
      </c>
      <c r="I521" s="1" t="s">
        <v>31</v>
      </c>
      <c r="J521" s="7" t="s">
        <v>1605</v>
      </c>
      <c r="K521" s="1">
        <v>0.1</v>
      </c>
      <c r="L521" s="1" t="s">
        <v>751</v>
      </c>
      <c r="M521" s="1" t="s">
        <v>382</v>
      </c>
      <c r="N521" s="1" t="s">
        <v>781</v>
      </c>
      <c r="O521" s="1" t="str">
        <f t="shared" si="37"/>
        <v>Medium</v>
      </c>
      <c r="P521" s="1" t="str">
        <f t="shared" si="36"/>
        <v>Sustained</v>
      </c>
    </row>
    <row r="522" spans="1:16" x14ac:dyDescent="0.3">
      <c r="A522" s="7" t="s">
        <v>1688</v>
      </c>
      <c r="B522" s="12" t="s">
        <v>1689</v>
      </c>
      <c r="C522" s="1" t="s">
        <v>1690</v>
      </c>
      <c r="D522" s="1" t="s">
        <v>1692</v>
      </c>
      <c r="E522" s="1" t="s">
        <v>1192</v>
      </c>
      <c r="F522" s="1">
        <v>400</v>
      </c>
      <c r="G522" s="1" t="str">
        <f t="shared" si="35"/>
        <v>Transmission</v>
      </c>
      <c r="H522" s="1" t="s">
        <v>37</v>
      </c>
      <c r="I522" s="1" t="s">
        <v>31</v>
      </c>
      <c r="J522" s="7" t="s">
        <v>215</v>
      </c>
      <c r="K522" s="1">
        <v>1.77</v>
      </c>
      <c r="L522" s="1" t="s">
        <v>751</v>
      </c>
      <c r="M522" s="1" t="s">
        <v>1693</v>
      </c>
      <c r="N522" s="1" t="s">
        <v>781</v>
      </c>
      <c r="O522" s="1" t="str">
        <f t="shared" si="37"/>
        <v>High</v>
      </c>
      <c r="P522" s="1" t="str">
        <f t="shared" si="36"/>
        <v>Permanent</v>
      </c>
    </row>
    <row r="523" spans="1:16" x14ac:dyDescent="0.3">
      <c r="A523" s="7" t="s">
        <v>1694</v>
      </c>
      <c r="B523" s="12" t="s">
        <v>1695</v>
      </c>
      <c r="C523" s="1" t="s">
        <v>1696</v>
      </c>
      <c r="D523" s="1" t="s">
        <v>1697</v>
      </c>
      <c r="E523" s="1" t="s">
        <v>899</v>
      </c>
      <c r="F523" s="1">
        <v>132</v>
      </c>
      <c r="G523" s="1" t="str">
        <f t="shared" si="35"/>
        <v>Transmission</v>
      </c>
      <c r="H523" s="1" t="s">
        <v>288</v>
      </c>
      <c r="I523" s="1" t="s">
        <v>31</v>
      </c>
      <c r="J523" s="7" t="s">
        <v>1698</v>
      </c>
      <c r="K523" s="1">
        <v>0.03</v>
      </c>
      <c r="L523" s="1" t="s">
        <v>17</v>
      </c>
      <c r="M523" s="1" t="s">
        <v>1699</v>
      </c>
      <c r="N523" s="1" t="s">
        <v>781</v>
      </c>
      <c r="O523" s="1" t="str">
        <f t="shared" si="37"/>
        <v>Low</v>
      </c>
      <c r="P523" s="1" t="str">
        <f t="shared" si="36"/>
        <v>Transient</v>
      </c>
    </row>
    <row r="524" spans="1:16" x14ac:dyDescent="0.3">
      <c r="A524" s="7" t="s">
        <v>1694</v>
      </c>
      <c r="B524" s="12" t="s">
        <v>1695</v>
      </c>
      <c r="C524" s="1" t="s">
        <v>1696</v>
      </c>
      <c r="D524" s="1" t="s">
        <v>1519</v>
      </c>
      <c r="E524" s="1" t="s">
        <v>1700</v>
      </c>
      <c r="F524" s="1">
        <v>132</v>
      </c>
      <c r="G524" s="1" t="str">
        <f t="shared" si="35"/>
        <v>Transmission</v>
      </c>
      <c r="H524" s="1" t="s">
        <v>288</v>
      </c>
      <c r="I524" s="1" t="s">
        <v>31</v>
      </c>
      <c r="J524" s="7" t="s">
        <v>1701</v>
      </c>
      <c r="K524" s="1">
        <v>0.02</v>
      </c>
      <c r="L524" s="1" t="s">
        <v>17</v>
      </c>
      <c r="M524" s="1" t="s">
        <v>382</v>
      </c>
      <c r="N524" s="1" t="s">
        <v>781</v>
      </c>
      <c r="O524" s="1" t="str">
        <f t="shared" si="37"/>
        <v>Low</v>
      </c>
      <c r="P524" s="1" t="str">
        <f t="shared" si="36"/>
        <v>Transient</v>
      </c>
    </row>
    <row r="525" spans="1:16" x14ac:dyDescent="0.3">
      <c r="A525" s="7" t="s">
        <v>1702</v>
      </c>
      <c r="B525" s="12" t="s">
        <v>1703</v>
      </c>
      <c r="C525" s="1" t="s">
        <v>1704</v>
      </c>
      <c r="D525" s="1" t="s">
        <v>1504</v>
      </c>
      <c r="E525" s="1" t="s">
        <v>1505</v>
      </c>
      <c r="F525" s="1">
        <v>220</v>
      </c>
      <c r="G525" s="1" t="str">
        <f t="shared" si="35"/>
        <v>Transmission</v>
      </c>
      <c r="H525" s="1" t="s">
        <v>21</v>
      </c>
      <c r="I525" s="1" t="s">
        <v>31</v>
      </c>
      <c r="J525" s="7" t="s">
        <v>1117</v>
      </c>
      <c r="K525" s="1">
        <v>1.07</v>
      </c>
      <c r="L525" s="1" t="s">
        <v>1668</v>
      </c>
      <c r="M525" s="1" t="s">
        <v>708</v>
      </c>
      <c r="N525" s="1" t="s">
        <v>781</v>
      </c>
      <c r="O525" s="1" t="str">
        <f t="shared" si="37"/>
        <v>High</v>
      </c>
      <c r="P525" s="1" t="str">
        <f t="shared" si="36"/>
        <v>Permanent</v>
      </c>
    </row>
    <row r="526" spans="1:16" x14ac:dyDescent="0.3">
      <c r="A526" s="7" t="s">
        <v>1705</v>
      </c>
      <c r="B526" s="12" t="s">
        <v>1706</v>
      </c>
      <c r="C526" s="1" t="s">
        <v>1707</v>
      </c>
      <c r="D526" s="1" t="s">
        <v>63</v>
      </c>
      <c r="E526" s="1" t="s">
        <v>1708</v>
      </c>
      <c r="F526" s="1">
        <v>132</v>
      </c>
      <c r="G526" s="1" t="str">
        <f t="shared" si="35"/>
        <v>Transmission</v>
      </c>
      <c r="H526" s="1" t="s">
        <v>14</v>
      </c>
      <c r="I526" s="1" t="s">
        <v>31</v>
      </c>
      <c r="J526" s="7" t="s">
        <v>1187</v>
      </c>
      <c r="K526" s="1">
        <v>0.7</v>
      </c>
      <c r="L526" s="1" t="s">
        <v>309</v>
      </c>
      <c r="M526" s="1" t="s">
        <v>1709</v>
      </c>
      <c r="N526" s="1" t="s">
        <v>781</v>
      </c>
      <c r="O526" s="1" t="str">
        <f t="shared" si="37"/>
        <v>High</v>
      </c>
      <c r="P526" s="1" t="str">
        <f t="shared" si="36"/>
        <v>Permanent</v>
      </c>
    </row>
    <row r="527" spans="1:16" x14ac:dyDescent="0.3">
      <c r="A527" s="7" t="s">
        <v>1705</v>
      </c>
      <c r="B527" s="12" t="s">
        <v>1706</v>
      </c>
      <c r="C527" s="1" t="s">
        <v>1707</v>
      </c>
      <c r="D527" s="1" t="s">
        <v>63</v>
      </c>
      <c r="E527" s="1" t="s">
        <v>1712</v>
      </c>
      <c r="F527" s="1">
        <v>132</v>
      </c>
      <c r="G527" s="1" t="str">
        <f t="shared" si="35"/>
        <v>Transmission</v>
      </c>
      <c r="H527" s="1" t="s">
        <v>14</v>
      </c>
      <c r="I527" s="1" t="s">
        <v>31</v>
      </c>
      <c r="J527" s="7" t="s">
        <v>1713</v>
      </c>
      <c r="K527" s="1">
        <v>0.92</v>
      </c>
      <c r="L527" s="1" t="s">
        <v>17</v>
      </c>
      <c r="M527" s="1" t="s">
        <v>1714</v>
      </c>
      <c r="N527" s="1" t="s">
        <v>781</v>
      </c>
      <c r="O527" s="1" t="str">
        <f t="shared" si="37"/>
        <v>High</v>
      </c>
      <c r="P527" s="1" t="str">
        <f t="shared" si="36"/>
        <v>Permanent</v>
      </c>
    </row>
    <row r="528" spans="1:16" x14ac:dyDescent="0.3">
      <c r="A528" s="7" t="s">
        <v>1705</v>
      </c>
      <c r="B528" s="12" t="s">
        <v>1706</v>
      </c>
      <c r="C528" s="1" t="s">
        <v>1707</v>
      </c>
      <c r="D528" s="1" t="s">
        <v>1716</v>
      </c>
      <c r="E528" s="1" t="s">
        <v>1717</v>
      </c>
      <c r="F528" s="1">
        <v>132</v>
      </c>
      <c r="G528" s="1" t="str">
        <f t="shared" si="35"/>
        <v>Transmission</v>
      </c>
      <c r="H528" s="1" t="s">
        <v>14</v>
      </c>
      <c r="I528" s="1" t="s">
        <v>31</v>
      </c>
      <c r="J528" s="7" t="s">
        <v>1718</v>
      </c>
      <c r="K528" s="1">
        <v>0.42</v>
      </c>
      <c r="L528" s="1" t="s">
        <v>17</v>
      </c>
      <c r="M528" s="1" t="s">
        <v>898</v>
      </c>
      <c r="N528" s="1" t="s">
        <v>781</v>
      </c>
      <c r="O528" s="1" t="str">
        <f t="shared" si="37"/>
        <v>Medium</v>
      </c>
      <c r="P528" s="1" t="str">
        <f t="shared" si="36"/>
        <v>Sustained</v>
      </c>
    </row>
    <row r="529" spans="1:16" x14ac:dyDescent="0.3">
      <c r="A529" s="7" t="s">
        <v>1705</v>
      </c>
      <c r="B529" s="12" t="s">
        <v>1706</v>
      </c>
      <c r="C529" s="1" t="s">
        <v>1707</v>
      </c>
      <c r="D529" s="1" t="s">
        <v>1719</v>
      </c>
      <c r="E529" s="1" t="s">
        <v>1720</v>
      </c>
      <c r="F529" s="1">
        <v>132</v>
      </c>
      <c r="G529" s="1" t="str">
        <f t="shared" si="35"/>
        <v>Transmission</v>
      </c>
      <c r="H529" s="1" t="s">
        <v>14</v>
      </c>
      <c r="I529" s="1" t="s">
        <v>31</v>
      </c>
      <c r="J529" s="7" t="s">
        <v>1721</v>
      </c>
      <c r="K529" s="1">
        <v>1.1299999999999999</v>
      </c>
      <c r="L529" s="1" t="s">
        <v>17</v>
      </c>
      <c r="M529" s="1" t="s">
        <v>898</v>
      </c>
      <c r="N529" s="1" t="s">
        <v>781</v>
      </c>
      <c r="O529" s="1" t="str">
        <f t="shared" si="37"/>
        <v>High</v>
      </c>
      <c r="P529" s="1" t="str">
        <f t="shared" si="36"/>
        <v>Permanent</v>
      </c>
    </row>
    <row r="530" spans="1:16" x14ac:dyDescent="0.3">
      <c r="A530" s="7" t="s">
        <v>1722</v>
      </c>
      <c r="B530" s="12" t="s">
        <v>1701</v>
      </c>
      <c r="C530" s="1" t="s">
        <v>1723</v>
      </c>
      <c r="D530" s="1" t="s">
        <v>1619</v>
      </c>
      <c r="E530" s="1" t="s">
        <v>1620</v>
      </c>
      <c r="F530" s="1">
        <v>132</v>
      </c>
      <c r="G530" s="1" t="str">
        <f t="shared" si="35"/>
        <v>Transmission</v>
      </c>
      <c r="H530" s="1" t="s">
        <v>14</v>
      </c>
      <c r="I530" s="1" t="s">
        <v>15</v>
      </c>
      <c r="J530" s="11">
        <v>0.64166666666666672</v>
      </c>
      <c r="K530" s="1">
        <v>0.05</v>
      </c>
      <c r="L530" s="1" t="s">
        <v>17</v>
      </c>
      <c r="M530" s="1" t="s">
        <v>1724</v>
      </c>
      <c r="N530" s="1" t="s">
        <v>18</v>
      </c>
      <c r="O530" s="1" t="str">
        <f t="shared" ref="O530:O561" si="38">IF(K530&lt;=0.083,"Low",IF(K530&lt;= 0.5,"Medium",IF(K530&gt;0.5,"High")))</f>
        <v>Low</v>
      </c>
      <c r="P530" s="1" t="str">
        <f t="shared" si="36"/>
        <v>Transient</v>
      </c>
    </row>
    <row r="531" spans="1:16" x14ac:dyDescent="0.3">
      <c r="A531" s="7" t="s">
        <v>1725</v>
      </c>
      <c r="B531" s="12" t="s">
        <v>1726</v>
      </c>
      <c r="C531" s="1" t="s">
        <v>1727</v>
      </c>
      <c r="D531" s="1" t="s">
        <v>1728</v>
      </c>
      <c r="E531" s="1" t="s">
        <v>1729</v>
      </c>
      <c r="F531" s="1">
        <v>132</v>
      </c>
      <c r="G531" s="1" t="str">
        <f t="shared" si="35"/>
        <v>Transmission</v>
      </c>
      <c r="H531" s="1" t="s">
        <v>14</v>
      </c>
      <c r="I531" s="1" t="s">
        <v>64</v>
      </c>
      <c r="J531" s="7" t="s">
        <v>1730</v>
      </c>
      <c r="K531" s="1">
        <v>9.9499999999999993</v>
      </c>
      <c r="L531" s="1" t="s">
        <v>1616</v>
      </c>
      <c r="M531" s="1" t="s">
        <v>1731</v>
      </c>
      <c r="N531" s="1" t="s">
        <v>18</v>
      </c>
      <c r="O531" s="1" t="str">
        <f t="shared" si="38"/>
        <v>High</v>
      </c>
      <c r="P531" s="1" t="str">
        <f t="shared" si="36"/>
        <v>Permanent</v>
      </c>
    </row>
    <row r="532" spans="1:16" x14ac:dyDescent="0.3">
      <c r="A532" s="7" t="s">
        <v>1725</v>
      </c>
      <c r="B532" s="12" t="s">
        <v>1726</v>
      </c>
      <c r="C532" s="1" t="s">
        <v>1727</v>
      </c>
      <c r="D532" s="1" t="s">
        <v>1732</v>
      </c>
      <c r="E532" s="1" t="s">
        <v>1733</v>
      </c>
      <c r="F532" s="1">
        <v>132</v>
      </c>
      <c r="G532" s="1" t="str">
        <f t="shared" si="35"/>
        <v>Transmission</v>
      </c>
      <c r="H532" s="1" t="s">
        <v>14</v>
      </c>
      <c r="I532" s="1" t="s">
        <v>64</v>
      </c>
      <c r="J532" s="7" t="s">
        <v>1730</v>
      </c>
      <c r="K532" s="1">
        <v>9.9499999999999993</v>
      </c>
      <c r="L532" s="1" t="s">
        <v>487</v>
      </c>
      <c r="M532" s="1" t="s">
        <v>1734</v>
      </c>
      <c r="N532" s="1" t="s">
        <v>18</v>
      </c>
      <c r="O532" s="1" t="str">
        <f t="shared" si="38"/>
        <v>High</v>
      </c>
      <c r="P532" s="1" t="str">
        <f t="shared" si="36"/>
        <v>Permanent</v>
      </c>
    </row>
    <row r="533" spans="1:16" x14ac:dyDescent="0.3">
      <c r="A533" s="7" t="s">
        <v>1735</v>
      </c>
      <c r="B533" s="12" t="s">
        <v>1736</v>
      </c>
      <c r="C533" s="1" t="s">
        <v>1737</v>
      </c>
      <c r="D533" s="1" t="s">
        <v>1738</v>
      </c>
      <c r="E533" s="1" t="s">
        <v>1739</v>
      </c>
      <c r="F533" s="1">
        <v>132</v>
      </c>
      <c r="G533" s="1" t="str">
        <f t="shared" si="35"/>
        <v>Transmission</v>
      </c>
      <c r="H533" s="1" t="s">
        <v>14</v>
      </c>
      <c r="I533" s="1" t="s">
        <v>64</v>
      </c>
      <c r="J533" s="7" t="s">
        <v>1740</v>
      </c>
      <c r="K533" s="1">
        <v>0.02</v>
      </c>
      <c r="L533" s="1" t="s">
        <v>17</v>
      </c>
      <c r="M533" s="1" t="s">
        <v>1741</v>
      </c>
      <c r="N533" s="1" t="s">
        <v>18</v>
      </c>
      <c r="O533" s="1" t="str">
        <f t="shared" si="38"/>
        <v>Low</v>
      </c>
      <c r="P533" s="1" t="str">
        <f t="shared" si="36"/>
        <v>Transient</v>
      </c>
    </row>
    <row r="534" spans="1:16" x14ac:dyDescent="0.3">
      <c r="A534" s="7" t="s">
        <v>1742</v>
      </c>
      <c r="B534" s="12" t="s">
        <v>1669</v>
      </c>
      <c r="C534" s="1" t="s">
        <v>1743</v>
      </c>
      <c r="D534" s="1" t="s">
        <v>1670</v>
      </c>
      <c r="E534" s="1" t="s">
        <v>1744</v>
      </c>
      <c r="F534" s="1">
        <v>132</v>
      </c>
      <c r="G534" s="1" t="str">
        <f t="shared" si="35"/>
        <v>Transmission</v>
      </c>
      <c r="H534" s="1" t="s">
        <v>21</v>
      </c>
      <c r="I534" s="1" t="s">
        <v>15</v>
      </c>
      <c r="J534" s="7" t="s">
        <v>1669</v>
      </c>
      <c r="K534" s="1">
        <v>0</v>
      </c>
      <c r="L534" s="1" t="s">
        <v>1672</v>
      </c>
      <c r="M534" s="1" t="s">
        <v>1673</v>
      </c>
      <c r="N534" s="1" t="s">
        <v>18</v>
      </c>
      <c r="O534" s="1" t="str">
        <f t="shared" si="38"/>
        <v>Low</v>
      </c>
      <c r="P534" s="1" t="str">
        <f t="shared" si="36"/>
        <v>Transient</v>
      </c>
    </row>
    <row r="535" spans="1:16" x14ac:dyDescent="0.3">
      <c r="A535" s="7" t="s">
        <v>1742</v>
      </c>
      <c r="B535" s="12" t="s">
        <v>1745</v>
      </c>
      <c r="C535" s="1" t="s">
        <v>1743</v>
      </c>
      <c r="D535" s="1" t="s">
        <v>523</v>
      </c>
      <c r="E535" s="1" t="s">
        <v>1746</v>
      </c>
      <c r="F535" s="1">
        <v>220</v>
      </c>
      <c r="G535" s="1" t="str">
        <f t="shared" si="35"/>
        <v>Transmission</v>
      </c>
      <c r="H535" s="1" t="s">
        <v>21</v>
      </c>
      <c r="I535" s="1" t="s">
        <v>31</v>
      </c>
      <c r="J535" s="7" t="s">
        <v>1747</v>
      </c>
      <c r="K535" s="1">
        <v>1.18</v>
      </c>
      <c r="L535" s="1" t="s">
        <v>1678</v>
      </c>
      <c r="M535" s="1" t="s">
        <v>1748</v>
      </c>
      <c r="N535" s="1" t="s">
        <v>18</v>
      </c>
      <c r="O535" s="1" t="str">
        <f t="shared" si="38"/>
        <v>High</v>
      </c>
      <c r="P535" s="1" t="str">
        <f t="shared" si="36"/>
        <v>Permanent</v>
      </c>
    </row>
    <row r="536" spans="1:16" x14ac:dyDescent="0.3">
      <c r="A536" s="7" t="s">
        <v>1749</v>
      </c>
      <c r="B536" s="12" t="s">
        <v>1656</v>
      </c>
      <c r="C536" s="1" t="s">
        <v>1750</v>
      </c>
      <c r="D536" s="1" t="s">
        <v>1658</v>
      </c>
      <c r="E536" s="1" t="s">
        <v>1659</v>
      </c>
      <c r="F536" s="1">
        <v>132</v>
      </c>
      <c r="G536" s="1" t="str">
        <f t="shared" si="35"/>
        <v>Transmission</v>
      </c>
      <c r="H536" s="1" t="s">
        <v>14</v>
      </c>
      <c r="I536" s="1" t="s">
        <v>31</v>
      </c>
      <c r="J536" s="7" t="s">
        <v>1656</v>
      </c>
      <c r="K536" s="1">
        <v>0</v>
      </c>
      <c r="L536" s="1" t="s">
        <v>17</v>
      </c>
      <c r="M536" s="1" t="s">
        <v>1660</v>
      </c>
      <c r="N536" s="1" t="s">
        <v>18</v>
      </c>
      <c r="O536" s="1" t="str">
        <f t="shared" si="38"/>
        <v>Low</v>
      </c>
      <c r="P536" s="1" t="str">
        <f t="shared" si="36"/>
        <v>Transient</v>
      </c>
    </row>
    <row r="537" spans="1:16" x14ac:dyDescent="0.3">
      <c r="A537" s="7" t="s">
        <v>1749</v>
      </c>
      <c r="B537" s="12" t="s">
        <v>1629</v>
      </c>
      <c r="C537" s="1" t="s">
        <v>1751</v>
      </c>
      <c r="D537" s="1" t="s">
        <v>86</v>
      </c>
      <c r="E537" s="1" t="s">
        <v>1752</v>
      </c>
      <c r="F537" s="1">
        <v>132</v>
      </c>
      <c r="G537" s="1" t="str">
        <f t="shared" si="35"/>
        <v>Transmission</v>
      </c>
      <c r="H537" s="1" t="s">
        <v>1753</v>
      </c>
      <c r="I537" s="1" t="s">
        <v>64</v>
      </c>
      <c r="J537" s="7" t="s">
        <v>1754</v>
      </c>
      <c r="K537" s="1">
        <v>4.7699999999999996</v>
      </c>
      <c r="L537" s="1" t="s">
        <v>673</v>
      </c>
      <c r="M537" s="1" t="s">
        <v>1755</v>
      </c>
      <c r="N537" s="1" t="s">
        <v>18</v>
      </c>
      <c r="O537" s="1" t="str">
        <f t="shared" si="38"/>
        <v>High</v>
      </c>
      <c r="P537" s="1" t="str">
        <f t="shared" si="36"/>
        <v>Permanent</v>
      </c>
    </row>
    <row r="538" spans="1:16" x14ac:dyDescent="0.3">
      <c r="A538" s="7" t="s">
        <v>1756</v>
      </c>
      <c r="B538" s="12" t="s">
        <v>1757</v>
      </c>
      <c r="C538" s="1" t="s">
        <v>1758</v>
      </c>
      <c r="D538" s="1" t="s">
        <v>1395</v>
      </c>
      <c r="E538" s="1" t="s">
        <v>639</v>
      </c>
      <c r="F538" s="1">
        <v>132</v>
      </c>
      <c r="G538" s="1" t="str">
        <f t="shared" si="35"/>
        <v>Transmission</v>
      </c>
      <c r="H538" s="1" t="s">
        <v>14</v>
      </c>
      <c r="I538" s="1" t="s">
        <v>31</v>
      </c>
      <c r="J538" s="7" t="s">
        <v>1757</v>
      </c>
      <c r="K538" s="1">
        <v>0</v>
      </c>
      <c r="L538" s="1" t="s">
        <v>17</v>
      </c>
      <c r="M538" s="1" t="s">
        <v>1759</v>
      </c>
      <c r="N538" s="1" t="s">
        <v>18</v>
      </c>
      <c r="O538" s="1" t="str">
        <f t="shared" si="38"/>
        <v>Low</v>
      </c>
      <c r="P538" s="1" t="str">
        <f t="shared" si="36"/>
        <v>Transient</v>
      </c>
    </row>
    <row r="539" spans="1:16" x14ac:dyDescent="0.3">
      <c r="A539" s="7" t="s">
        <v>1756</v>
      </c>
      <c r="B539" s="12" t="s">
        <v>1757</v>
      </c>
      <c r="C539" s="1" t="s">
        <v>1758</v>
      </c>
      <c r="D539" s="1" t="s">
        <v>1160</v>
      </c>
      <c r="E539" s="1" t="s">
        <v>636</v>
      </c>
      <c r="F539" s="1">
        <v>132</v>
      </c>
      <c r="G539" s="1" t="str">
        <f t="shared" si="35"/>
        <v>Transmission</v>
      </c>
      <c r="H539" s="1" t="s">
        <v>14</v>
      </c>
      <c r="I539" s="1" t="s">
        <v>31</v>
      </c>
      <c r="J539" s="7" t="s">
        <v>1757</v>
      </c>
      <c r="K539" s="1">
        <v>0</v>
      </c>
      <c r="L539" s="1" t="s">
        <v>17</v>
      </c>
      <c r="M539" s="1" t="s">
        <v>1760</v>
      </c>
      <c r="N539" s="1" t="s">
        <v>18</v>
      </c>
      <c r="O539" s="1" t="str">
        <f t="shared" si="38"/>
        <v>Low</v>
      </c>
      <c r="P539" s="1" t="str">
        <f t="shared" si="36"/>
        <v>Transient</v>
      </c>
    </row>
    <row r="540" spans="1:16" x14ac:dyDescent="0.3">
      <c r="A540" s="7" t="s">
        <v>1761</v>
      </c>
      <c r="B540" s="12" t="s">
        <v>1766</v>
      </c>
      <c r="C540" s="1" t="s">
        <v>1767</v>
      </c>
      <c r="D540" s="1" t="s">
        <v>1768</v>
      </c>
      <c r="E540" s="1" t="s">
        <v>479</v>
      </c>
      <c r="F540" s="1">
        <v>132</v>
      </c>
      <c r="G540" s="1" t="str">
        <f t="shared" si="35"/>
        <v>Transmission</v>
      </c>
      <c r="H540" s="1" t="s">
        <v>14</v>
      </c>
      <c r="I540" s="1" t="s">
        <v>15</v>
      </c>
      <c r="J540" s="11">
        <v>0.94374999999999998</v>
      </c>
      <c r="K540" s="1">
        <v>7.33</v>
      </c>
      <c r="L540" s="1" t="s">
        <v>481</v>
      </c>
      <c r="M540" s="1" t="s">
        <v>1769</v>
      </c>
      <c r="N540" s="1" t="s">
        <v>18</v>
      </c>
      <c r="O540" s="1" t="str">
        <f t="shared" si="38"/>
        <v>High</v>
      </c>
      <c r="P540" s="1" t="str">
        <f t="shared" si="36"/>
        <v>Permanent</v>
      </c>
    </row>
    <row r="541" spans="1:16" x14ac:dyDescent="0.3">
      <c r="A541" s="7" t="s">
        <v>1761</v>
      </c>
      <c r="B541" s="12" t="s">
        <v>984</v>
      </c>
      <c r="C541" s="1" t="s">
        <v>1770</v>
      </c>
      <c r="D541" s="1" t="s">
        <v>1771</v>
      </c>
      <c r="E541" s="1" t="s">
        <v>1772</v>
      </c>
      <c r="F541" s="1">
        <v>220</v>
      </c>
      <c r="G541" s="1" t="str">
        <f t="shared" si="35"/>
        <v>Transmission</v>
      </c>
      <c r="H541" s="1" t="s">
        <v>21</v>
      </c>
      <c r="I541" s="1" t="s">
        <v>64</v>
      </c>
      <c r="J541" s="7" t="s">
        <v>1773</v>
      </c>
      <c r="K541" s="1">
        <v>1.53</v>
      </c>
      <c r="L541" s="1" t="s">
        <v>1678</v>
      </c>
      <c r="M541" s="1" t="s">
        <v>1774</v>
      </c>
      <c r="N541" s="1" t="s">
        <v>18</v>
      </c>
      <c r="O541" s="1" t="str">
        <f t="shared" si="38"/>
        <v>High</v>
      </c>
      <c r="P541" s="1" t="str">
        <f t="shared" si="36"/>
        <v>Permanent</v>
      </c>
    </row>
    <row r="542" spans="1:16" x14ac:dyDescent="0.3">
      <c r="A542" s="7" t="s">
        <v>1775</v>
      </c>
      <c r="B542" s="12" t="s">
        <v>1776</v>
      </c>
      <c r="C542" s="1" t="s">
        <v>1777</v>
      </c>
      <c r="D542" s="1" t="s">
        <v>1504</v>
      </c>
      <c r="E542" s="1" t="s">
        <v>443</v>
      </c>
      <c r="F542" s="1">
        <v>220</v>
      </c>
      <c r="G542" s="1" t="str">
        <f t="shared" si="35"/>
        <v>Transmission</v>
      </c>
      <c r="H542" s="1" t="s">
        <v>47</v>
      </c>
      <c r="I542" s="1" t="s">
        <v>15</v>
      </c>
      <c r="J542" s="7" t="s">
        <v>1778</v>
      </c>
      <c r="K542" s="1">
        <v>1.07</v>
      </c>
      <c r="L542" s="1" t="s">
        <v>1779</v>
      </c>
      <c r="M542" s="1" t="s">
        <v>1780</v>
      </c>
      <c r="N542" s="1" t="s">
        <v>18</v>
      </c>
      <c r="O542" s="1" t="str">
        <f t="shared" si="38"/>
        <v>High</v>
      </c>
      <c r="P542" s="1" t="str">
        <f t="shared" si="36"/>
        <v>Permanent</v>
      </c>
    </row>
    <row r="543" spans="1:16" x14ac:dyDescent="0.3">
      <c r="A543" s="7" t="s">
        <v>1775</v>
      </c>
      <c r="B543" s="12" t="s">
        <v>1776</v>
      </c>
      <c r="C543" s="1" t="s">
        <v>1777</v>
      </c>
      <c r="D543" s="1" t="s">
        <v>1601</v>
      </c>
      <c r="E543" s="1" t="s">
        <v>1781</v>
      </c>
      <c r="F543" s="1">
        <v>220</v>
      </c>
      <c r="G543" s="1" t="str">
        <f t="shared" si="35"/>
        <v>Transmission</v>
      </c>
      <c r="H543" s="1" t="s">
        <v>47</v>
      </c>
      <c r="I543" s="1" t="s">
        <v>15</v>
      </c>
      <c r="J543" s="7" t="s">
        <v>1782</v>
      </c>
      <c r="K543" s="1">
        <v>2.4500000000000002</v>
      </c>
      <c r="L543" s="1" t="s">
        <v>496</v>
      </c>
      <c r="M543" s="1" t="s">
        <v>1783</v>
      </c>
      <c r="N543" s="1" t="s">
        <v>18</v>
      </c>
      <c r="O543" s="1" t="str">
        <f t="shared" si="38"/>
        <v>High</v>
      </c>
      <c r="P543" s="1" t="str">
        <f t="shared" si="36"/>
        <v>Permanent</v>
      </c>
    </row>
    <row r="544" spans="1:16" x14ac:dyDescent="0.3">
      <c r="A544" s="7" t="s">
        <v>1790</v>
      </c>
      <c r="B544" s="12" t="s">
        <v>1791</v>
      </c>
      <c r="C544" s="1" t="s">
        <v>1792</v>
      </c>
      <c r="D544" s="1" t="s">
        <v>1793</v>
      </c>
      <c r="E544" s="1" t="s">
        <v>1794</v>
      </c>
      <c r="F544" s="1">
        <v>400</v>
      </c>
      <c r="G544" s="1" t="str">
        <f t="shared" si="35"/>
        <v>Transmission</v>
      </c>
      <c r="H544" s="1" t="s">
        <v>47</v>
      </c>
      <c r="I544" s="1" t="s">
        <v>15</v>
      </c>
      <c r="J544" s="7" t="s">
        <v>1795</v>
      </c>
      <c r="K544" s="1">
        <v>0.92</v>
      </c>
      <c r="L544" s="1" t="s">
        <v>1796</v>
      </c>
      <c r="M544" s="1" t="s">
        <v>1797</v>
      </c>
      <c r="N544" s="1" t="s">
        <v>18</v>
      </c>
      <c r="O544" s="1" t="str">
        <f t="shared" si="38"/>
        <v>High</v>
      </c>
      <c r="P544" s="1" t="str">
        <f t="shared" si="36"/>
        <v>Permanent</v>
      </c>
    </row>
    <row r="545" spans="1:16" x14ac:dyDescent="0.3">
      <c r="A545" s="7" t="s">
        <v>1790</v>
      </c>
      <c r="B545" s="12" t="s">
        <v>1791</v>
      </c>
      <c r="C545" s="1" t="s">
        <v>1792</v>
      </c>
      <c r="D545" s="1" t="s">
        <v>1798</v>
      </c>
      <c r="E545" s="1" t="s">
        <v>1799</v>
      </c>
      <c r="F545" s="1">
        <v>400</v>
      </c>
      <c r="G545" s="1" t="str">
        <f t="shared" si="35"/>
        <v>Transmission</v>
      </c>
      <c r="H545" s="1" t="s">
        <v>47</v>
      </c>
      <c r="I545" s="1" t="s">
        <v>15</v>
      </c>
      <c r="J545" s="7" t="s">
        <v>1800</v>
      </c>
      <c r="K545" s="1">
        <v>0.18</v>
      </c>
      <c r="L545" s="1" t="s">
        <v>774</v>
      </c>
      <c r="M545" s="1" t="s">
        <v>1801</v>
      </c>
      <c r="N545" s="1" t="s">
        <v>18</v>
      </c>
      <c r="O545" s="1" t="str">
        <f t="shared" si="38"/>
        <v>Medium</v>
      </c>
      <c r="P545" s="1" t="str">
        <f t="shared" si="36"/>
        <v>Sustained</v>
      </c>
    </row>
    <row r="546" spans="1:16" x14ac:dyDescent="0.3">
      <c r="A546" s="7" t="s">
        <v>1790</v>
      </c>
      <c r="B546" s="12" t="s">
        <v>1791</v>
      </c>
      <c r="C546" s="1" t="s">
        <v>1792</v>
      </c>
      <c r="D546" s="1" t="s">
        <v>1212</v>
      </c>
      <c r="E546" s="1" t="s">
        <v>1531</v>
      </c>
      <c r="F546" s="1">
        <v>400</v>
      </c>
      <c r="G546" s="1" t="str">
        <f t="shared" si="35"/>
        <v>Transmission</v>
      </c>
      <c r="H546" s="1" t="s">
        <v>47</v>
      </c>
      <c r="I546" s="1" t="s">
        <v>15</v>
      </c>
      <c r="J546" s="7" t="s">
        <v>1802</v>
      </c>
      <c r="K546" s="1">
        <v>0.97</v>
      </c>
      <c r="L546" s="1" t="s">
        <v>1796</v>
      </c>
      <c r="M546" s="1" t="s">
        <v>1803</v>
      </c>
      <c r="N546" s="1" t="s">
        <v>18</v>
      </c>
      <c r="O546" s="1" t="str">
        <f t="shared" si="38"/>
        <v>High</v>
      </c>
      <c r="P546" s="1" t="str">
        <f t="shared" si="36"/>
        <v>Permanent</v>
      </c>
    </row>
    <row r="547" spans="1:16" x14ac:dyDescent="0.3">
      <c r="A547" s="7" t="s">
        <v>1790</v>
      </c>
      <c r="B547" s="12" t="s">
        <v>1791</v>
      </c>
      <c r="C547" s="1" t="s">
        <v>1792</v>
      </c>
      <c r="D547" s="1" t="s">
        <v>1643</v>
      </c>
      <c r="E547" s="1" t="s">
        <v>1804</v>
      </c>
      <c r="F547" s="1">
        <v>400</v>
      </c>
      <c r="G547" s="1" t="str">
        <f t="shared" si="35"/>
        <v>Transmission</v>
      </c>
      <c r="H547" s="1" t="s">
        <v>47</v>
      </c>
      <c r="I547" s="1" t="s">
        <v>15</v>
      </c>
      <c r="J547" s="7" t="s">
        <v>1805</v>
      </c>
      <c r="K547" s="1">
        <v>1.02</v>
      </c>
      <c r="L547" s="1" t="s">
        <v>1806</v>
      </c>
      <c r="M547" s="1" t="s">
        <v>1807</v>
      </c>
      <c r="N547" s="1" t="s">
        <v>18</v>
      </c>
      <c r="O547" s="1" t="str">
        <f t="shared" si="38"/>
        <v>High</v>
      </c>
      <c r="P547" s="1" t="str">
        <f t="shared" si="36"/>
        <v>Permanent</v>
      </c>
    </row>
    <row r="548" spans="1:16" x14ac:dyDescent="0.3">
      <c r="A548" s="7" t="s">
        <v>1790</v>
      </c>
      <c r="B548" s="12" t="s">
        <v>1808</v>
      </c>
      <c r="C548" s="1" t="s">
        <v>1777</v>
      </c>
      <c r="D548" s="1" t="s">
        <v>1622</v>
      </c>
      <c r="E548" s="1" t="s">
        <v>771</v>
      </c>
      <c r="F548" s="1">
        <v>132</v>
      </c>
      <c r="G548" s="1" t="str">
        <f t="shared" si="35"/>
        <v>Transmission</v>
      </c>
      <c r="H548" s="1" t="s">
        <v>14</v>
      </c>
      <c r="I548" s="1" t="s">
        <v>15</v>
      </c>
      <c r="J548" s="7" t="s">
        <v>1809</v>
      </c>
      <c r="K548" s="1">
        <v>1.37</v>
      </c>
      <c r="L548" s="1" t="s">
        <v>1616</v>
      </c>
      <c r="M548" s="1" t="s">
        <v>1810</v>
      </c>
      <c r="N548" s="1" t="s">
        <v>18</v>
      </c>
      <c r="O548" s="1" t="str">
        <f t="shared" si="38"/>
        <v>High</v>
      </c>
      <c r="P548" s="1" t="str">
        <f t="shared" si="36"/>
        <v>Permanent</v>
      </c>
    </row>
    <row r="549" spans="1:16" x14ac:dyDescent="0.3">
      <c r="A549" s="7" t="s">
        <v>1811</v>
      </c>
      <c r="B549" s="12" t="s">
        <v>1812</v>
      </c>
      <c r="C549" s="1" t="s">
        <v>1813</v>
      </c>
      <c r="D549" s="1" t="s">
        <v>52</v>
      </c>
      <c r="E549" s="1" t="s">
        <v>1814</v>
      </c>
      <c r="F549" s="1">
        <v>220</v>
      </c>
      <c r="G549" s="1" t="str">
        <f t="shared" ref="G549:G612" si="39">IF(F549&gt;=132,"Transmission",IF(F549&gt;=66,"Sub-Transmission","Distribution"))</f>
        <v>Transmission</v>
      </c>
      <c r="H549" s="1" t="s">
        <v>47</v>
      </c>
      <c r="I549" s="1" t="s">
        <v>15</v>
      </c>
      <c r="J549" s="7" t="s">
        <v>1815</v>
      </c>
      <c r="K549" s="1">
        <v>1.1499999999999999</v>
      </c>
      <c r="L549" s="1" t="s">
        <v>496</v>
      </c>
      <c r="M549" s="1" t="s">
        <v>1816</v>
      </c>
      <c r="N549" s="1" t="s">
        <v>18</v>
      </c>
      <c r="O549" s="1" t="str">
        <f t="shared" si="38"/>
        <v>High</v>
      </c>
      <c r="P549" s="1" t="str">
        <f t="shared" ref="P549:P612" si="40">IF(O549="Low","Transient",IF(O549="Medium","Sustained",IF(O549="High","Permanent")))</f>
        <v>Permanent</v>
      </c>
    </row>
    <row r="550" spans="1:16" x14ac:dyDescent="0.3">
      <c r="A550" s="7" t="s">
        <v>1811</v>
      </c>
      <c r="B550" s="12" t="s">
        <v>1812</v>
      </c>
      <c r="C550" s="1" t="s">
        <v>1813</v>
      </c>
      <c r="D550" s="1" t="s">
        <v>1663</v>
      </c>
      <c r="E550" s="1" t="s">
        <v>436</v>
      </c>
      <c r="F550" s="1">
        <v>220</v>
      </c>
      <c r="G550" s="1" t="str">
        <f t="shared" si="39"/>
        <v>Transmission</v>
      </c>
      <c r="H550" s="1" t="s">
        <v>47</v>
      </c>
      <c r="I550" s="1" t="s">
        <v>15</v>
      </c>
      <c r="J550" s="7" t="s">
        <v>1817</v>
      </c>
      <c r="K550" s="1">
        <v>1.63</v>
      </c>
      <c r="L550" s="1" t="s">
        <v>496</v>
      </c>
      <c r="M550" s="1" t="s">
        <v>1818</v>
      </c>
      <c r="N550" s="1" t="s">
        <v>18</v>
      </c>
      <c r="O550" s="1" t="str">
        <f t="shared" si="38"/>
        <v>High</v>
      </c>
      <c r="P550" s="1" t="str">
        <f t="shared" si="40"/>
        <v>Permanent</v>
      </c>
    </row>
    <row r="551" spans="1:16" x14ac:dyDescent="0.3">
      <c r="A551" s="7" t="s">
        <v>1811</v>
      </c>
      <c r="B551" s="12" t="s">
        <v>1812</v>
      </c>
      <c r="C551" s="1" t="s">
        <v>1813</v>
      </c>
      <c r="D551" s="1" t="s">
        <v>1666</v>
      </c>
      <c r="E551" s="1" t="s">
        <v>440</v>
      </c>
      <c r="F551" s="1">
        <v>220</v>
      </c>
      <c r="G551" s="1" t="str">
        <f t="shared" si="39"/>
        <v>Transmission</v>
      </c>
      <c r="H551" s="1" t="s">
        <v>47</v>
      </c>
      <c r="I551" s="1" t="s">
        <v>15</v>
      </c>
      <c r="J551" s="7" t="s">
        <v>1819</v>
      </c>
      <c r="K551" s="1">
        <v>1.58</v>
      </c>
      <c r="L551" s="1" t="s">
        <v>1779</v>
      </c>
      <c r="M551" s="1" t="s">
        <v>382</v>
      </c>
      <c r="N551" s="1" t="s">
        <v>18</v>
      </c>
      <c r="O551" s="1" t="str">
        <f t="shared" si="38"/>
        <v>High</v>
      </c>
      <c r="P551" s="1" t="str">
        <f t="shared" si="40"/>
        <v>Permanent</v>
      </c>
    </row>
    <row r="552" spans="1:16" x14ac:dyDescent="0.3">
      <c r="A552" s="7" t="s">
        <v>1820</v>
      </c>
      <c r="B552" s="12" t="s">
        <v>1821</v>
      </c>
      <c r="C552" s="1" t="s">
        <v>1822</v>
      </c>
      <c r="D552" s="1" t="s">
        <v>1635</v>
      </c>
      <c r="E552" s="1" t="s">
        <v>1823</v>
      </c>
      <c r="F552" s="1">
        <v>220</v>
      </c>
      <c r="G552" s="1" t="str">
        <f t="shared" si="39"/>
        <v>Transmission</v>
      </c>
      <c r="H552" s="1" t="s">
        <v>37</v>
      </c>
      <c r="I552" s="1" t="s">
        <v>15</v>
      </c>
      <c r="J552" s="7" t="s">
        <v>1824</v>
      </c>
      <c r="K552" s="1">
        <v>0.25</v>
      </c>
      <c r="L552" s="1" t="s">
        <v>17</v>
      </c>
      <c r="M552" s="1" t="s">
        <v>1825</v>
      </c>
      <c r="N552" s="1" t="s">
        <v>18</v>
      </c>
      <c r="O552" s="1" t="str">
        <f t="shared" si="38"/>
        <v>Medium</v>
      </c>
      <c r="P552" s="1" t="str">
        <f t="shared" si="40"/>
        <v>Sustained</v>
      </c>
    </row>
    <row r="553" spans="1:16" x14ac:dyDescent="0.3">
      <c r="A553" s="7" t="s">
        <v>1826</v>
      </c>
      <c r="B553" s="12" t="s">
        <v>1827</v>
      </c>
      <c r="C553" s="1" t="s">
        <v>1828</v>
      </c>
      <c r="D553" s="1" t="s">
        <v>1118</v>
      </c>
      <c r="E553" s="1" t="s">
        <v>1119</v>
      </c>
      <c r="F553" s="1">
        <v>132</v>
      </c>
      <c r="G553" s="1" t="str">
        <f t="shared" si="39"/>
        <v>Transmission</v>
      </c>
      <c r="H553" s="1" t="s">
        <v>14</v>
      </c>
      <c r="I553" s="1" t="s">
        <v>64</v>
      </c>
      <c r="J553" s="7" t="s">
        <v>1829</v>
      </c>
      <c r="K553" s="1">
        <v>0.2</v>
      </c>
      <c r="L553" s="1" t="s">
        <v>17</v>
      </c>
      <c r="M553" s="1" t="s">
        <v>1830</v>
      </c>
      <c r="N553" s="1" t="s">
        <v>92</v>
      </c>
      <c r="O553" s="1" t="str">
        <f t="shared" si="38"/>
        <v>Medium</v>
      </c>
      <c r="P553" s="1" t="str">
        <f t="shared" si="40"/>
        <v>Sustained</v>
      </c>
    </row>
    <row r="554" spans="1:16" x14ac:dyDescent="0.3">
      <c r="A554" s="7" t="s">
        <v>1831</v>
      </c>
      <c r="B554" s="12" t="s">
        <v>1832</v>
      </c>
      <c r="C554" s="1" t="s">
        <v>1833</v>
      </c>
      <c r="D554" s="1" t="s">
        <v>176</v>
      </c>
      <c r="E554" s="1" t="s">
        <v>1834</v>
      </c>
      <c r="F554" s="1">
        <v>132</v>
      </c>
      <c r="G554" s="1" t="str">
        <f t="shared" si="39"/>
        <v>Transmission</v>
      </c>
      <c r="H554" s="1" t="s">
        <v>176</v>
      </c>
      <c r="I554" s="1" t="s">
        <v>64</v>
      </c>
      <c r="J554" s="7" t="s">
        <v>1835</v>
      </c>
      <c r="K554" s="1">
        <v>9.1300000000000008</v>
      </c>
      <c r="L554" s="1" t="s">
        <v>751</v>
      </c>
      <c r="M554" s="1" t="s">
        <v>1836</v>
      </c>
      <c r="N554" s="1" t="s">
        <v>92</v>
      </c>
      <c r="O554" s="1" t="str">
        <f t="shared" si="38"/>
        <v>High</v>
      </c>
      <c r="P554" s="1" t="str">
        <f t="shared" si="40"/>
        <v>Permanent</v>
      </c>
    </row>
    <row r="555" spans="1:16" x14ac:dyDescent="0.3">
      <c r="A555" s="7" t="s">
        <v>1838</v>
      </c>
      <c r="B555" s="12" t="s">
        <v>1701</v>
      </c>
      <c r="C555" s="1" t="s">
        <v>1839</v>
      </c>
      <c r="D555" s="1" t="s">
        <v>1697</v>
      </c>
      <c r="E555" s="1" t="s">
        <v>899</v>
      </c>
      <c r="F555" s="1">
        <v>132</v>
      </c>
      <c r="G555" s="1" t="str">
        <f t="shared" si="39"/>
        <v>Transmission</v>
      </c>
      <c r="H555" s="1" t="s">
        <v>1753</v>
      </c>
      <c r="I555" s="1" t="s">
        <v>64</v>
      </c>
      <c r="J555" s="7" t="s">
        <v>1698</v>
      </c>
      <c r="K555" s="1">
        <v>0.02</v>
      </c>
      <c r="L555" s="1" t="s">
        <v>17</v>
      </c>
      <c r="M555" s="1" t="s">
        <v>1840</v>
      </c>
      <c r="N555" s="1" t="s">
        <v>92</v>
      </c>
      <c r="O555" s="1" t="str">
        <f t="shared" si="38"/>
        <v>Low</v>
      </c>
      <c r="P555" s="1" t="str">
        <f t="shared" si="40"/>
        <v>Transient</v>
      </c>
    </row>
    <row r="556" spans="1:16" x14ac:dyDescent="0.3">
      <c r="A556" s="7" t="s">
        <v>1841</v>
      </c>
      <c r="B556" s="12" t="s">
        <v>1842</v>
      </c>
      <c r="C556" s="1" t="s">
        <v>1843</v>
      </c>
      <c r="D556" s="1" t="s">
        <v>1844</v>
      </c>
      <c r="E556" s="1" t="s">
        <v>1845</v>
      </c>
      <c r="F556" s="1">
        <v>220</v>
      </c>
      <c r="G556" s="1" t="str">
        <f t="shared" si="39"/>
        <v>Transmission</v>
      </c>
      <c r="H556" s="1" t="s">
        <v>1753</v>
      </c>
      <c r="I556" s="1" t="s">
        <v>108</v>
      </c>
      <c r="J556" s="7" t="s">
        <v>229</v>
      </c>
      <c r="K556" s="1">
        <v>0.9</v>
      </c>
      <c r="L556" s="1" t="s">
        <v>1684</v>
      </c>
      <c r="M556" s="1" t="s">
        <v>1846</v>
      </c>
      <c r="N556" s="1" t="s">
        <v>92</v>
      </c>
      <c r="O556" s="1" t="str">
        <f t="shared" si="38"/>
        <v>High</v>
      </c>
      <c r="P556" s="1" t="str">
        <f t="shared" si="40"/>
        <v>Permanent</v>
      </c>
    </row>
    <row r="557" spans="1:16" x14ac:dyDescent="0.3">
      <c r="A557" s="7" t="s">
        <v>1841</v>
      </c>
      <c r="B557" s="12" t="s">
        <v>1842</v>
      </c>
      <c r="C557" s="1" t="s">
        <v>1843</v>
      </c>
      <c r="D557" s="1" t="s">
        <v>1847</v>
      </c>
      <c r="E557" s="1" t="s">
        <v>1848</v>
      </c>
      <c r="F557" s="1">
        <v>220</v>
      </c>
      <c r="G557" s="1" t="str">
        <f t="shared" si="39"/>
        <v>Transmission</v>
      </c>
      <c r="H557" s="1" t="s">
        <v>1753</v>
      </c>
      <c r="I557" s="1" t="s">
        <v>108</v>
      </c>
      <c r="J557" s="7" t="s">
        <v>229</v>
      </c>
      <c r="K557" s="1">
        <v>0.9</v>
      </c>
      <c r="L557" s="1" t="s">
        <v>1684</v>
      </c>
      <c r="M557" s="1" t="s">
        <v>1849</v>
      </c>
      <c r="N557" s="1" t="s">
        <v>92</v>
      </c>
      <c r="O557" s="1" t="str">
        <f t="shared" si="38"/>
        <v>High</v>
      </c>
      <c r="P557" s="1" t="str">
        <f t="shared" si="40"/>
        <v>Permanent</v>
      </c>
    </row>
    <row r="558" spans="1:16" x14ac:dyDescent="0.3">
      <c r="A558" s="7" t="s">
        <v>1841</v>
      </c>
      <c r="B558" s="12" t="s">
        <v>1842</v>
      </c>
      <c r="C558" s="1" t="s">
        <v>1843</v>
      </c>
      <c r="D558" s="1" t="s">
        <v>113</v>
      </c>
      <c r="E558" s="1" t="s">
        <v>1850</v>
      </c>
      <c r="F558" s="1">
        <v>220</v>
      </c>
      <c r="G558" s="1" t="str">
        <f t="shared" si="39"/>
        <v>Transmission</v>
      </c>
      <c r="H558" s="1" t="s">
        <v>1753</v>
      </c>
      <c r="I558" s="1" t="s">
        <v>108</v>
      </c>
      <c r="J558" s="7" t="s">
        <v>229</v>
      </c>
      <c r="K558" s="1">
        <v>0.9</v>
      </c>
      <c r="L558" s="1" t="s">
        <v>1684</v>
      </c>
      <c r="M558" s="1" t="s">
        <v>1851</v>
      </c>
      <c r="N558" s="1" t="s">
        <v>92</v>
      </c>
      <c r="O558" s="1" t="str">
        <f t="shared" si="38"/>
        <v>High</v>
      </c>
      <c r="P558" s="1" t="str">
        <f t="shared" si="40"/>
        <v>Permanent</v>
      </c>
    </row>
    <row r="559" spans="1:16" x14ac:dyDescent="0.3">
      <c r="A559" s="7" t="s">
        <v>1841</v>
      </c>
      <c r="B559" s="12" t="s">
        <v>1842</v>
      </c>
      <c r="C559" s="1" t="s">
        <v>1843</v>
      </c>
      <c r="D559" s="1" t="s">
        <v>113</v>
      </c>
      <c r="E559" s="1" t="s">
        <v>1852</v>
      </c>
      <c r="F559" s="1">
        <v>132</v>
      </c>
      <c r="G559" s="1" t="str">
        <f t="shared" si="39"/>
        <v>Transmission</v>
      </c>
      <c r="H559" s="1" t="s">
        <v>1753</v>
      </c>
      <c r="I559" s="1" t="s">
        <v>108</v>
      </c>
      <c r="J559" s="7" t="s">
        <v>229</v>
      </c>
      <c r="K559" s="1">
        <v>0.9</v>
      </c>
      <c r="L559" s="1" t="s">
        <v>1684</v>
      </c>
      <c r="M559" s="1" t="s">
        <v>1853</v>
      </c>
      <c r="N559" s="1" t="s">
        <v>92</v>
      </c>
      <c r="O559" s="1" t="str">
        <f t="shared" si="38"/>
        <v>High</v>
      </c>
      <c r="P559" s="1" t="str">
        <f t="shared" si="40"/>
        <v>Permanent</v>
      </c>
    </row>
    <row r="560" spans="1:16" x14ac:dyDescent="0.3">
      <c r="A560" s="7" t="s">
        <v>1841</v>
      </c>
      <c r="B560" s="12" t="s">
        <v>1854</v>
      </c>
      <c r="C560" s="1" t="s">
        <v>1855</v>
      </c>
      <c r="D560" s="1" t="s">
        <v>1564</v>
      </c>
      <c r="E560" s="1" t="s">
        <v>1856</v>
      </c>
      <c r="F560" s="1">
        <v>220</v>
      </c>
      <c r="G560" s="1" t="str">
        <f t="shared" si="39"/>
        <v>Transmission</v>
      </c>
      <c r="H560" s="1" t="s">
        <v>21</v>
      </c>
      <c r="I560" s="1" t="s">
        <v>108</v>
      </c>
      <c r="J560" s="7" t="s">
        <v>1857</v>
      </c>
      <c r="K560" s="1">
        <v>1.1499999999999999</v>
      </c>
      <c r="L560" s="1" t="s">
        <v>1678</v>
      </c>
      <c r="M560" s="1" t="s">
        <v>1858</v>
      </c>
      <c r="N560" s="1" t="s">
        <v>92</v>
      </c>
      <c r="O560" s="1" t="str">
        <f t="shared" si="38"/>
        <v>High</v>
      </c>
      <c r="P560" s="1" t="str">
        <f t="shared" si="40"/>
        <v>Permanent</v>
      </c>
    </row>
    <row r="561" spans="1:16" x14ac:dyDescent="0.3">
      <c r="A561" s="7" t="s">
        <v>1859</v>
      </c>
      <c r="B561" s="12" t="s">
        <v>1860</v>
      </c>
      <c r="C561" s="1" t="s">
        <v>1861</v>
      </c>
      <c r="D561" s="1" t="s">
        <v>1862</v>
      </c>
      <c r="E561" s="1" t="s">
        <v>1863</v>
      </c>
      <c r="F561" s="1">
        <v>220</v>
      </c>
      <c r="G561" s="1" t="str">
        <f t="shared" si="39"/>
        <v>Transmission</v>
      </c>
      <c r="H561" s="1" t="s">
        <v>14</v>
      </c>
      <c r="I561" s="1" t="s">
        <v>108</v>
      </c>
      <c r="J561" s="7" t="s">
        <v>1864</v>
      </c>
      <c r="K561" s="1">
        <v>2.02</v>
      </c>
      <c r="L561" s="1" t="s">
        <v>1624</v>
      </c>
      <c r="M561" s="1" t="s">
        <v>1865</v>
      </c>
      <c r="N561" s="1" t="s">
        <v>92</v>
      </c>
      <c r="O561" s="1" t="str">
        <f t="shared" si="38"/>
        <v>High</v>
      </c>
      <c r="P561" s="1" t="str">
        <f t="shared" si="40"/>
        <v>Permanent</v>
      </c>
    </row>
    <row r="562" spans="1:16" x14ac:dyDescent="0.3">
      <c r="A562" s="7" t="s">
        <v>1866</v>
      </c>
      <c r="B562" s="12" t="s">
        <v>1867</v>
      </c>
      <c r="C562" s="1" t="s">
        <v>1868</v>
      </c>
      <c r="D562" s="1" t="s">
        <v>1862</v>
      </c>
      <c r="E562" s="1" t="s">
        <v>1863</v>
      </c>
      <c r="F562" s="1">
        <v>220</v>
      </c>
      <c r="G562" s="1" t="str">
        <f t="shared" si="39"/>
        <v>Transmission</v>
      </c>
      <c r="H562" s="1" t="s">
        <v>14</v>
      </c>
      <c r="I562" s="1" t="s">
        <v>108</v>
      </c>
      <c r="J562" s="7" t="s">
        <v>1869</v>
      </c>
      <c r="K562" s="1">
        <v>0.12</v>
      </c>
      <c r="L562" s="1" t="s">
        <v>17</v>
      </c>
      <c r="M562" s="1" t="s">
        <v>374</v>
      </c>
      <c r="N562" s="1" t="s">
        <v>92</v>
      </c>
      <c r="O562" s="1" t="str">
        <f t="shared" ref="O562:O593" si="41">IF(K562&lt;=0.083,"Low",IF(K562&lt;= 0.5,"Medium",IF(K562&gt;0.5,"High")))</f>
        <v>Medium</v>
      </c>
      <c r="P562" s="1" t="str">
        <f t="shared" si="40"/>
        <v>Sustained</v>
      </c>
    </row>
    <row r="563" spans="1:16" x14ac:dyDescent="0.3">
      <c r="A563" s="7" t="s">
        <v>1870</v>
      </c>
      <c r="B563" s="12" t="s">
        <v>1871</v>
      </c>
      <c r="C563" s="1" t="s">
        <v>1872</v>
      </c>
      <c r="D563" s="1" t="s">
        <v>1564</v>
      </c>
      <c r="E563" s="1" t="s">
        <v>1856</v>
      </c>
      <c r="F563" s="1">
        <v>220</v>
      </c>
      <c r="G563" s="1" t="str">
        <f t="shared" si="39"/>
        <v>Transmission</v>
      </c>
      <c r="H563" s="1" t="s">
        <v>21</v>
      </c>
      <c r="I563" s="1" t="s">
        <v>108</v>
      </c>
      <c r="J563" s="7" t="s">
        <v>1873</v>
      </c>
      <c r="K563" s="1">
        <v>1.08</v>
      </c>
      <c r="L563" s="1" t="s">
        <v>1678</v>
      </c>
      <c r="M563" s="1" t="s">
        <v>1874</v>
      </c>
      <c r="N563" s="1" t="s">
        <v>92</v>
      </c>
      <c r="O563" s="1" t="str">
        <f t="shared" si="41"/>
        <v>High</v>
      </c>
      <c r="P563" s="1" t="str">
        <f t="shared" si="40"/>
        <v>Permanent</v>
      </c>
    </row>
    <row r="564" spans="1:16" x14ac:dyDescent="0.3">
      <c r="A564" s="7" t="s">
        <v>1870</v>
      </c>
      <c r="B564" s="12" t="s">
        <v>1875</v>
      </c>
      <c r="C564" s="1" t="s">
        <v>1876</v>
      </c>
      <c r="D564" s="1" t="s">
        <v>1025</v>
      </c>
      <c r="E564" s="1" t="s">
        <v>1877</v>
      </c>
      <c r="F564" s="1">
        <v>220</v>
      </c>
      <c r="G564" s="1" t="str">
        <f t="shared" si="39"/>
        <v>Transmission</v>
      </c>
      <c r="H564" s="1" t="s">
        <v>14</v>
      </c>
      <c r="I564" s="1" t="s">
        <v>15</v>
      </c>
      <c r="J564" s="7" t="s">
        <v>1878</v>
      </c>
      <c r="K564" s="1">
        <v>0.28000000000000003</v>
      </c>
      <c r="L564" s="1" t="s">
        <v>17</v>
      </c>
      <c r="M564" s="1" t="s">
        <v>472</v>
      </c>
      <c r="N564" s="1" t="s">
        <v>92</v>
      </c>
      <c r="O564" s="1" t="str">
        <f t="shared" si="41"/>
        <v>Medium</v>
      </c>
      <c r="P564" s="1" t="str">
        <f t="shared" si="40"/>
        <v>Sustained</v>
      </c>
    </row>
    <row r="565" spans="1:16" x14ac:dyDescent="0.3">
      <c r="A565" s="7" t="s">
        <v>1870</v>
      </c>
      <c r="B565" s="12" t="s">
        <v>1879</v>
      </c>
      <c r="C565" s="1" t="s">
        <v>1880</v>
      </c>
      <c r="D565" s="1" t="s">
        <v>1881</v>
      </c>
      <c r="E565" s="1" t="s">
        <v>1882</v>
      </c>
      <c r="F565" s="1">
        <v>132</v>
      </c>
      <c r="G565" s="1" t="str">
        <f t="shared" si="39"/>
        <v>Transmission</v>
      </c>
      <c r="H565" s="1" t="s">
        <v>14</v>
      </c>
      <c r="I565" s="1" t="s">
        <v>108</v>
      </c>
      <c r="J565" s="7" t="s">
        <v>1883</v>
      </c>
      <c r="K565" s="1">
        <v>0.2</v>
      </c>
      <c r="L565" s="1" t="s">
        <v>17</v>
      </c>
      <c r="M565" s="1" t="s">
        <v>708</v>
      </c>
      <c r="N565" s="1" t="s">
        <v>92</v>
      </c>
      <c r="O565" s="1" t="str">
        <f t="shared" si="41"/>
        <v>Medium</v>
      </c>
      <c r="P565" s="1" t="str">
        <f t="shared" si="40"/>
        <v>Sustained</v>
      </c>
    </row>
    <row r="566" spans="1:16" x14ac:dyDescent="0.3">
      <c r="A566" s="7" t="s">
        <v>1884</v>
      </c>
      <c r="B566" s="12" t="s">
        <v>1893</v>
      </c>
      <c r="C566" s="1" t="s">
        <v>1894</v>
      </c>
      <c r="D566" s="1" t="s">
        <v>1895</v>
      </c>
      <c r="E566" s="1" t="s">
        <v>1896</v>
      </c>
      <c r="F566" s="1">
        <v>132</v>
      </c>
      <c r="G566" s="1" t="str">
        <f t="shared" si="39"/>
        <v>Transmission</v>
      </c>
      <c r="H566" s="1" t="s">
        <v>14</v>
      </c>
      <c r="I566" s="1" t="s">
        <v>108</v>
      </c>
      <c r="J566" s="7" t="s">
        <v>1897</v>
      </c>
      <c r="K566" s="1">
        <v>3.05</v>
      </c>
      <c r="L566" s="1" t="s">
        <v>1898</v>
      </c>
      <c r="M566" s="1" t="s">
        <v>1899</v>
      </c>
      <c r="N566" s="1" t="s">
        <v>92</v>
      </c>
      <c r="O566" s="1" t="str">
        <f t="shared" si="41"/>
        <v>High</v>
      </c>
      <c r="P566" s="1" t="str">
        <f t="shared" si="40"/>
        <v>Permanent</v>
      </c>
    </row>
    <row r="567" spans="1:16" x14ac:dyDescent="0.3">
      <c r="A567" s="7" t="s">
        <v>1900</v>
      </c>
      <c r="B567" s="12" t="s">
        <v>1901</v>
      </c>
      <c r="C567" s="1" t="s">
        <v>1902</v>
      </c>
      <c r="D567" s="1" t="s">
        <v>1622</v>
      </c>
      <c r="E567" s="1" t="s">
        <v>1903</v>
      </c>
      <c r="F567" s="1">
        <v>132</v>
      </c>
      <c r="G567" s="1" t="str">
        <f t="shared" si="39"/>
        <v>Transmission</v>
      </c>
      <c r="H567" s="1" t="s">
        <v>14</v>
      </c>
      <c r="I567" s="1" t="s">
        <v>108</v>
      </c>
      <c r="J567" s="7" t="s">
        <v>1904</v>
      </c>
      <c r="K567" s="1">
        <v>0.3</v>
      </c>
      <c r="L567" s="1" t="s">
        <v>1616</v>
      </c>
      <c r="M567" s="1" t="s">
        <v>708</v>
      </c>
      <c r="N567" s="1" t="s">
        <v>92</v>
      </c>
      <c r="O567" s="1" t="str">
        <f t="shared" si="41"/>
        <v>Medium</v>
      </c>
      <c r="P567" s="1" t="str">
        <f t="shared" si="40"/>
        <v>Sustained</v>
      </c>
    </row>
    <row r="568" spans="1:16" x14ac:dyDescent="0.3">
      <c r="A568" s="7" t="s">
        <v>1905</v>
      </c>
      <c r="B568" s="12" t="s">
        <v>1906</v>
      </c>
      <c r="C568" s="1" t="s">
        <v>1907</v>
      </c>
      <c r="D568" s="1" t="s">
        <v>1504</v>
      </c>
      <c r="E568" s="1" t="s">
        <v>1505</v>
      </c>
      <c r="F568" s="1">
        <v>220</v>
      </c>
      <c r="G568" s="1" t="str">
        <f t="shared" si="39"/>
        <v>Transmission</v>
      </c>
      <c r="H568" s="1" t="s">
        <v>21</v>
      </c>
      <c r="I568" s="1" t="s">
        <v>31</v>
      </c>
      <c r="J568" s="7" t="s">
        <v>514</v>
      </c>
      <c r="K568" s="1">
        <v>0.65</v>
      </c>
      <c r="L568" s="1" t="s">
        <v>1608</v>
      </c>
      <c r="M568" s="1" t="s">
        <v>1908</v>
      </c>
      <c r="N568" s="1" t="s">
        <v>92</v>
      </c>
      <c r="O568" s="1" t="str">
        <f t="shared" si="41"/>
        <v>High</v>
      </c>
      <c r="P568" s="1" t="str">
        <f t="shared" si="40"/>
        <v>Permanent</v>
      </c>
    </row>
    <row r="569" spans="1:16" x14ac:dyDescent="0.3">
      <c r="A569" s="7" t="s">
        <v>1905</v>
      </c>
      <c r="B569" s="12" t="s">
        <v>1906</v>
      </c>
      <c r="C569" s="1" t="s">
        <v>1907</v>
      </c>
      <c r="D569" s="1" t="s">
        <v>1564</v>
      </c>
      <c r="E569" s="1" t="s">
        <v>1856</v>
      </c>
      <c r="F569" s="1">
        <v>220</v>
      </c>
      <c r="G569" s="1" t="str">
        <f t="shared" si="39"/>
        <v>Transmission</v>
      </c>
      <c r="H569" s="1" t="s">
        <v>21</v>
      </c>
      <c r="I569" s="1" t="s">
        <v>31</v>
      </c>
      <c r="J569" s="7" t="s">
        <v>1533</v>
      </c>
      <c r="K569" s="1">
        <v>1.07</v>
      </c>
      <c r="L569" s="1" t="s">
        <v>1678</v>
      </c>
      <c r="M569" s="1" t="s">
        <v>1909</v>
      </c>
      <c r="N569" s="1" t="s">
        <v>92</v>
      </c>
      <c r="O569" s="1" t="str">
        <f t="shared" si="41"/>
        <v>High</v>
      </c>
      <c r="P569" s="1" t="str">
        <f t="shared" si="40"/>
        <v>Permanent</v>
      </c>
    </row>
    <row r="570" spans="1:16" x14ac:dyDescent="0.3">
      <c r="A570" s="7" t="s">
        <v>1910</v>
      </c>
      <c r="B570" s="12" t="s">
        <v>1911</v>
      </c>
      <c r="C570" s="1" t="s">
        <v>1912</v>
      </c>
      <c r="D570" s="1" t="s">
        <v>1320</v>
      </c>
      <c r="E570" s="1" t="s">
        <v>1913</v>
      </c>
      <c r="F570" s="1">
        <v>400</v>
      </c>
      <c r="G570" s="1" t="str">
        <f t="shared" si="39"/>
        <v>Transmission</v>
      </c>
      <c r="H570" s="1" t="s">
        <v>1753</v>
      </c>
      <c r="I570" s="1" t="s">
        <v>31</v>
      </c>
      <c r="J570" s="7" t="s">
        <v>1197</v>
      </c>
      <c r="K570" s="1">
        <v>1.42</v>
      </c>
      <c r="L570" s="1" t="s">
        <v>1678</v>
      </c>
      <c r="M570" s="1" t="s">
        <v>1914</v>
      </c>
      <c r="N570" s="1" t="s">
        <v>92</v>
      </c>
      <c r="O570" s="1" t="str">
        <f t="shared" si="41"/>
        <v>High</v>
      </c>
      <c r="P570" s="1" t="str">
        <f t="shared" si="40"/>
        <v>Permanent</v>
      </c>
    </row>
    <row r="571" spans="1:16" x14ac:dyDescent="0.3">
      <c r="A571" s="7" t="s">
        <v>1910</v>
      </c>
      <c r="B571" s="12" t="s">
        <v>1911</v>
      </c>
      <c r="C571" s="1" t="s">
        <v>1912</v>
      </c>
      <c r="D571" s="1" t="s">
        <v>1915</v>
      </c>
      <c r="E571" s="1" t="s">
        <v>1916</v>
      </c>
      <c r="F571" s="1">
        <v>400</v>
      </c>
      <c r="G571" s="1" t="str">
        <f t="shared" si="39"/>
        <v>Transmission</v>
      </c>
      <c r="H571" s="1" t="s">
        <v>1753</v>
      </c>
      <c r="I571" s="1" t="s">
        <v>31</v>
      </c>
      <c r="J571" s="7" t="s">
        <v>1795</v>
      </c>
      <c r="K571" s="1">
        <v>1.43</v>
      </c>
      <c r="L571" s="1" t="s">
        <v>496</v>
      </c>
      <c r="M571" s="1" t="s">
        <v>1917</v>
      </c>
      <c r="N571" s="1" t="s">
        <v>92</v>
      </c>
      <c r="O571" s="1" t="str">
        <f t="shared" si="41"/>
        <v>High</v>
      </c>
      <c r="P571" s="1" t="str">
        <f t="shared" si="40"/>
        <v>Permanent</v>
      </c>
    </row>
    <row r="572" spans="1:16" x14ac:dyDescent="0.3">
      <c r="A572" s="7" t="s">
        <v>1910</v>
      </c>
      <c r="B572" s="12" t="s">
        <v>1918</v>
      </c>
      <c r="C572" s="1" t="s">
        <v>1919</v>
      </c>
      <c r="D572" s="1" t="s">
        <v>523</v>
      </c>
      <c r="E572" s="1" t="s">
        <v>399</v>
      </c>
      <c r="F572" s="1">
        <v>220</v>
      </c>
      <c r="G572" s="1" t="str">
        <f t="shared" si="39"/>
        <v>Transmission</v>
      </c>
      <c r="H572" s="1" t="s">
        <v>21</v>
      </c>
      <c r="I572" s="1" t="s">
        <v>31</v>
      </c>
      <c r="J572" s="7" t="s">
        <v>1920</v>
      </c>
      <c r="K572" s="1">
        <v>1.45</v>
      </c>
      <c r="L572" s="1" t="s">
        <v>1678</v>
      </c>
      <c r="M572" s="1" t="s">
        <v>1921</v>
      </c>
      <c r="N572" s="1" t="s">
        <v>92</v>
      </c>
      <c r="O572" s="1" t="str">
        <f t="shared" si="41"/>
        <v>High</v>
      </c>
      <c r="P572" s="1" t="str">
        <f t="shared" si="40"/>
        <v>Permanent</v>
      </c>
    </row>
    <row r="573" spans="1:16" x14ac:dyDescent="0.3">
      <c r="A573" s="7" t="s">
        <v>1910</v>
      </c>
      <c r="B573" s="12" t="s">
        <v>1918</v>
      </c>
      <c r="C573" s="1" t="s">
        <v>1919</v>
      </c>
      <c r="D573" s="1" t="s">
        <v>1844</v>
      </c>
      <c r="E573" s="1" t="s">
        <v>1845</v>
      </c>
      <c r="F573" s="1">
        <v>220</v>
      </c>
      <c r="G573" s="1" t="str">
        <f t="shared" si="39"/>
        <v>Transmission</v>
      </c>
      <c r="H573" s="1" t="s">
        <v>1753</v>
      </c>
      <c r="I573" s="1" t="s">
        <v>31</v>
      </c>
      <c r="J573" s="7" t="s">
        <v>1922</v>
      </c>
      <c r="K573" s="1">
        <v>0.12</v>
      </c>
      <c r="L573" s="1" t="s">
        <v>17</v>
      </c>
      <c r="M573" s="1" t="s">
        <v>708</v>
      </c>
      <c r="N573" s="1" t="s">
        <v>92</v>
      </c>
      <c r="O573" s="1" t="str">
        <f t="shared" si="41"/>
        <v>Medium</v>
      </c>
      <c r="P573" s="1" t="str">
        <f t="shared" si="40"/>
        <v>Sustained</v>
      </c>
    </row>
    <row r="574" spans="1:16" x14ac:dyDescent="0.3">
      <c r="A574" s="7" t="s">
        <v>1910</v>
      </c>
      <c r="B574" s="12" t="s">
        <v>1918</v>
      </c>
      <c r="C574" s="1" t="s">
        <v>1919</v>
      </c>
      <c r="D574" s="1" t="s">
        <v>1847</v>
      </c>
      <c r="E574" s="1" t="s">
        <v>1923</v>
      </c>
      <c r="F574" s="1">
        <v>220</v>
      </c>
      <c r="G574" s="1" t="str">
        <f t="shared" si="39"/>
        <v>Transmission</v>
      </c>
      <c r="H574" s="1" t="s">
        <v>1753</v>
      </c>
      <c r="I574" s="1" t="s">
        <v>31</v>
      </c>
      <c r="J574" s="7" t="s">
        <v>1924</v>
      </c>
      <c r="K574" s="1">
        <v>0.15</v>
      </c>
      <c r="L574" s="1" t="s">
        <v>673</v>
      </c>
      <c r="M574" s="1" t="s">
        <v>708</v>
      </c>
      <c r="N574" s="1" t="s">
        <v>92</v>
      </c>
      <c r="O574" s="1" t="str">
        <f t="shared" si="41"/>
        <v>Medium</v>
      </c>
      <c r="P574" s="1" t="str">
        <f t="shared" si="40"/>
        <v>Sustained</v>
      </c>
    </row>
    <row r="575" spans="1:16" x14ac:dyDescent="0.3">
      <c r="A575" s="7" t="s">
        <v>1910</v>
      </c>
      <c r="B575" s="12" t="s">
        <v>1925</v>
      </c>
      <c r="C575" s="1" t="s">
        <v>1926</v>
      </c>
      <c r="D575" s="1" t="s">
        <v>1697</v>
      </c>
      <c r="E575" s="1" t="s">
        <v>899</v>
      </c>
      <c r="F575" s="1">
        <v>132</v>
      </c>
      <c r="G575" s="1" t="str">
        <f t="shared" si="39"/>
        <v>Transmission</v>
      </c>
      <c r="H575" s="1" t="s">
        <v>1753</v>
      </c>
      <c r="I575" s="1" t="s">
        <v>64</v>
      </c>
      <c r="J575" s="7" t="s">
        <v>912</v>
      </c>
      <c r="K575" s="1">
        <v>0.02</v>
      </c>
      <c r="L575" s="1" t="s">
        <v>17</v>
      </c>
      <c r="M575" s="1" t="s">
        <v>1840</v>
      </c>
      <c r="N575" s="1" t="s">
        <v>92</v>
      </c>
      <c r="O575" s="1" t="str">
        <f t="shared" si="41"/>
        <v>Low</v>
      </c>
      <c r="P575" s="1" t="str">
        <f t="shared" si="40"/>
        <v>Transient</v>
      </c>
    </row>
    <row r="576" spans="1:16" x14ac:dyDescent="0.3">
      <c r="A576" s="7" t="s">
        <v>1910</v>
      </c>
      <c r="B576" s="12" t="s">
        <v>1925</v>
      </c>
      <c r="C576" s="1" t="s">
        <v>1926</v>
      </c>
      <c r="D576" s="1" t="s">
        <v>1519</v>
      </c>
      <c r="E576" s="1" t="s">
        <v>1700</v>
      </c>
      <c r="F576" s="1">
        <v>132</v>
      </c>
      <c r="G576" s="1" t="str">
        <f t="shared" si="39"/>
        <v>Transmission</v>
      </c>
      <c r="H576" s="1" t="s">
        <v>1753</v>
      </c>
      <c r="I576" s="1" t="s">
        <v>64</v>
      </c>
      <c r="J576" s="7" t="s">
        <v>912</v>
      </c>
      <c r="K576" s="1">
        <v>0.02</v>
      </c>
      <c r="L576" s="1" t="s">
        <v>17</v>
      </c>
      <c r="M576" s="1" t="s">
        <v>1043</v>
      </c>
      <c r="N576" s="1" t="s">
        <v>92</v>
      </c>
      <c r="O576" s="1" t="str">
        <f t="shared" si="41"/>
        <v>Low</v>
      </c>
      <c r="P576" s="1" t="str">
        <f t="shared" si="40"/>
        <v>Transient</v>
      </c>
    </row>
    <row r="577" spans="1:16" x14ac:dyDescent="0.3">
      <c r="A577" s="7" t="s">
        <v>1927</v>
      </c>
      <c r="B577" s="12" t="s">
        <v>1928</v>
      </c>
      <c r="C577" s="1" t="s">
        <v>1929</v>
      </c>
      <c r="D577" s="1" t="s">
        <v>1793</v>
      </c>
      <c r="E577" s="1" t="s">
        <v>1930</v>
      </c>
      <c r="F577" s="1">
        <v>400</v>
      </c>
      <c r="G577" s="1" t="str">
        <f t="shared" si="39"/>
        <v>Transmission</v>
      </c>
      <c r="H577" s="1" t="s">
        <v>47</v>
      </c>
      <c r="I577" s="1" t="s">
        <v>15</v>
      </c>
      <c r="J577" s="7" t="s">
        <v>1931</v>
      </c>
      <c r="K577" s="1">
        <v>0.68</v>
      </c>
      <c r="L577" s="1" t="s">
        <v>17</v>
      </c>
      <c r="M577" s="1" t="s">
        <v>1932</v>
      </c>
      <c r="N577" s="1" t="s">
        <v>92</v>
      </c>
      <c r="O577" s="1" t="str">
        <f t="shared" si="41"/>
        <v>High</v>
      </c>
      <c r="P577" s="1" t="str">
        <f t="shared" si="40"/>
        <v>Permanent</v>
      </c>
    </row>
    <row r="578" spans="1:16" x14ac:dyDescent="0.3">
      <c r="A578" s="7" t="s">
        <v>1927</v>
      </c>
      <c r="B578" s="12" t="s">
        <v>1928</v>
      </c>
      <c r="C578" s="1" t="s">
        <v>1929</v>
      </c>
      <c r="D578" s="1" t="s">
        <v>1212</v>
      </c>
      <c r="E578" s="1" t="s">
        <v>1933</v>
      </c>
      <c r="F578" s="1">
        <v>400</v>
      </c>
      <c r="G578" s="1" t="str">
        <f t="shared" si="39"/>
        <v>Transmission</v>
      </c>
      <c r="H578" s="1" t="s">
        <v>47</v>
      </c>
      <c r="I578" s="1" t="s">
        <v>15</v>
      </c>
      <c r="J578" s="7" t="s">
        <v>1934</v>
      </c>
      <c r="K578" s="1">
        <v>1.78</v>
      </c>
      <c r="L578" s="1" t="s">
        <v>17</v>
      </c>
      <c r="M578" s="1" t="s">
        <v>1935</v>
      </c>
      <c r="N578" s="1" t="s">
        <v>92</v>
      </c>
      <c r="O578" s="1" t="str">
        <f t="shared" si="41"/>
        <v>High</v>
      </c>
      <c r="P578" s="1" t="str">
        <f t="shared" si="40"/>
        <v>Permanent</v>
      </c>
    </row>
    <row r="579" spans="1:16" x14ac:dyDescent="0.3">
      <c r="A579" s="7" t="s">
        <v>1927</v>
      </c>
      <c r="B579" s="12" t="s">
        <v>1936</v>
      </c>
      <c r="C579" s="1" t="s">
        <v>1929</v>
      </c>
      <c r="D579" s="1" t="s">
        <v>1009</v>
      </c>
      <c r="E579" s="1" t="s">
        <v>1937</v>
      </c>
      <c r="F579" s="1">
        <v>132</v>
      </c>
      <c r="G579" s="1" t="str">
        <f t="shared" si="39"/>
        <v>Transmission</v>
      </c>
      <c r="H579" s="1" t="s">
        <v>14</v>
      </c>
      <c r="I579" s="1" t="s">
        <v>15</v>
      </c>
      <c r="J579" s="7" t="s">
        <v>1938</v>
      </c>
      <c r="K579" s="1">
        <v>0.95</v>
      </c>
      <c r="L579" s="1" t="s">
        <v>17</v>
      </c>
      <c r="M579" s="1" t="s">
        <v>1939</v>
      </c>
      <c r="N579" s="1" t="s">
        <v>92</v>
      </c>
      <c r="O579" s="1" t="str">
        <f t="shared" si="41"/>
        <v>High</v>
      </c>
      <c r="P579" s="1" t="str">
        <f t="shared" si="40"/>
        <v>Permanent</v>
      </c>
    </row>
    <row r="580" spans="1:16" x14ac:dyDescent="0.3">
      <c r="A580" s="7" t="s">
        <v>1927</v>
      </c>
      <c r="B580" s="12" t="s">
        <v>1936</v>
      </c>
      <c r="C580" s="1" t="s">
        <v>1929</v>
      </c>
      <c r="D580" s="1" t="s">
        <v>1728</v>
      </c>
      <c r="E580" s="1" t="s">
        <v>1940</v>
      </c>
      <c r="F580" s="1">
        <v>132</v>
      </c>
      <c r="G580" s="1" t="str">
        <f t="shared" si="39"/>
        <v>Transmission</v>
      </c>
      <c r="H580" s="1" t="s">
        <v>14</v>
      </c>
      <c r="I580" s="1" t="s">
        <v>15</v>
      </c>
      <c r="J580" s="7" t="s">
        <v>1637</v>
      </c>
      <c r="K580" s="1">
        <v>1.42</v>
      </c>
      <c r="L580" s="1" t="s">
        <v>17</v>
      </c>
      <c r="M580" s="1" t="s">
        <v>1939</v>
      </c>
      <c r="N580" s="1" t="s">
        <v>92</v>
      </c>
      <c r="O580" s="1" t="str">
        <f t="shared" si="41"/>
        <v>High</v>
      </c>
      <c r="P580" s="1" t="str">
        <f t="shared" si="40"/>
        <v>Permanent</v>
      </c>
    </row>
    <row r="581" spans="1:16" x14ac:dyDescent="0.3">
      <c r="A581" s="7" t="s">
        <v>1927</v>
      </c>
      <c r="B581" s="12" t="s">
        <v>1936</v>
      </c>
      <c r="C581" s="1" t="s">
        <v>1929</v>
      </c>
      <c r="D581" s="1" t="s">
        <v>1941</v>
      </c>
      <c r="E581" s="1" t="s">
        <v>1942</v>
      </c>
      <c r="F581" s="1">
        <v>132</v>
      </c>
      <c r="G581" s="1" t="str">
        <f t="shared" si="39"/>
        <v>Transmission</v>
      </c>
      <c r="H581" s="1" t="s">
        <v>14</v>
      </c>
      <c r="I581" s="1" t="s">
        <v>15</v>
      </c>
      <c r="J581" s="7" t="s">
        <v>1943</v>
      </c>
      <c r="K581" s="1">
        <v>1.03</v>
      </c>
      <c r="L581" s="1" t="s">
        <v>17</v>
      </c>
      <c r="M581" s="1" t="s">
        <v>1939</v>
      </c>
      <c r="N581" s="1" t="s">
        <v>92</v>
      </c>
      <c r="O581" s="1" t="str">
        <f t="shared" si="41"/>
        <v>High</v>
      </c>
      <c r="P581" s="1" t="str">
        <f t="shared" si="40"/>
        <v>Permanent</v>
      </c>
    </row>
    <row r="582" spans="1:16" x14ac:dyDescent="0.3">
      <c r="A582" s="7" t="s">
        <v>1927</v>
      </c>
      <c r="B582" s="12" t="s">
        <v>1944</v>
      </c>
      <c r="C582" s="1" t="s">
        <v>1945</v>
      </c>
      <c r="D582" s="1" t="s">
        <v>1180</v>
      </c>
      <c r="E582" s="1" t="s">
        <v>1946</v>
      </c>
      <c r="F582" s="1">
        <v>132</v>
      </c>
      <c r="G582" s="1" t="str">
        <f t="shared" si="39"/>
        <v>Transmission</v>
      </c>
      <c r="H582" s="1" t="s">
        <v>14</v>
      </c>
      <c r="I582" s="1" t="s">
        <v>15</v>
      </c>
      <c r="J582" s="7" t="s">
        <v>1947</v>
      </c>
      <c r="K582" s="1">
        <v>1.17</v>
      </c>
      <c r="L582" s="1" t="s">
        <v>1948</v>
      </c>
      <c r="M582" s="1" t="s">
        <v>1949</v>
      </c>
      <c r="N582" s="1" t="s">
        <v>92</v>
      </c>
      <c r="O582" s="1" t="str">
        <f t="shared" si="41"/>
        <v>High</v>
      </c>
      <c r="P582" s="1" t="str">
        <f t="shared" si="40"/>
        <v>Permanent</v>
      </c>
    </row>
    <row r="583" spans="1:16" x14ac:dyDescent="0.3">
      <c r="A583" s="6">
        <v>45718</v>
      </c>
      <c r="B583" s="11">
        <v>0.19513888888888889</v>
      </c>
      <c r="C583" s="1" t="s">
        <v>1951</v>
      </c>
      <c r="D583" s="1" t="s">
        <v>1952</v>
      </c>
      <c r="E583" s="1" t="s">
        <v>1953</v>
      </c>
      <c r="F583" s="1">
        <v>400</v>
      </c>
      <c r="G583" s="1" t="str">
        <f t="shared" si="39"/>
        <v>Transmission</v>
      </c>
      <c r="H583" s="1" t="s">
        <v>313</v>
      </c>
      <c r="I583" s="1" t="s">
        <v>31</v>
      </c>
      <c r="J583" s="5" t="s">
        <v>2158</v>
      </c>
      <c r="K583" s="18">
        <v>1.68</v>
      </c>
      <c r="L583" s="1" t="s">
        <v>17</v>
      </c>
      <c r="M583" s="1" t="s">
        <v>1954</v>
      </c>
      <c r="N583" s="1" t="s">
        <v>156</v>
      </c>
      <c r="O583" s="1" t="str">
        <f t="shared" si="41"/>
        <v>High</v>
      </c>
      <c r="P583" s="1" t="str">
        <f t="shared" si="40"/>
        <v>Permanent</v>
      </c>
    </row>
    <row r="584" spans="1:16" x14ac:dyDescent="0.3">
      <c r="A584" s="6">
        <v>45718</v>
      </c>
      <c r="B584" s="11">
        <v>0.19513888888888889</v>
      </c>
      <c r="C584" s="1" t="s">
        <v>1951</v>
      </c>
      <c r="D584" s="1" t="s">
        <v>1955</v>
      </c>
      <c r="E584" s="1" t="s">
        <v>1956</v>
      </c>
      <c r="F584" s="1">
        <v>400</v>
      </c>
      <c r="G584" s="1" t="str">
        <f t="shared" si="39"/>
        <v>Transmission</v>
      </c>
      <c r="H584" s="1" t="s">
        <v>313</v>
      </c>
      <c r="I584" s="1" t="s">
        <v>31</v>
      </c>
      <c r="J584" s="5" t="s">
        <v>1289</v>
      </c>
      <c r="K584" s="7">
        <v>1.7</v>
      </c>
      <c r="L584" s="1" t="s">
        <v>1616</v>
      </c>
      <c r="M584" s="1" t="s">
        <v>1957</v>
      </c>
      <c r="N584" s="1" t="s">
        <v>156</v>
      </c>
      <c r="O584" s="1" t="str">
        <f t="shared" si="41"/>
        <v>High</v>
      </c>
      <c r="P584" s="1" t="str">
        <f t="shared" si="40"/>
        <v>Permanent</v>
      </c>
    </row>
    <row r="585" spans="1:16" x14ac:dyDescent="0.3">
      <c r="A585" s="6">
        <v>45719</v>
      </c>
      <c r="B585" s="11">
        <v>0.76597222222222228</v>
      </c>
      <c r="C585" s="1" t="s">
        <v>1961</v>
      </c>
      <c r="D585" s="1" t="s">
        <v>1962</v>
      </c>
      <c r="E585" s="1" t="s">
        <v>771</v>
      </c>
      <c r="F585" s="1">
        <v>132</v>
      </c>
      <c r="G585" s="1" t="str">
        <f t="shared" si="39"/>
        <v>Transmission</v>
      </c>
      <c r="H585" s="1" t="s">
        <v>14</v>
      </c>
      <c r="I585" s="1" t="s">
        <v>15</v>
      </c>
      <c r="J585" s="11">
        <v>0.81458333333333333</v>
      </c>
      <c r="K585" s="7">
        <v>1.17</v>
      </c>
      <c r="L585" s="1" t="s">
        <v>17</v>
      </c>
      <c r="M585" s="1" t="s">
        <v>1960</v>
      </c>
      <c r="N585" s="1" t="s">
        <v>156</v>
      </c>
      <c r="O585" s="1" t="str">
        <f t="shared" si="41"/>
        <v>High</v>
      </c>
      <c r="P585" s="1" t="str">
        <f t="shared" si="40"/>
        <v>Permanent</v>
      </c>
    </row>
    <row r="586" spans="1:16" x14ac:dyDescent="0.3">
      <c r="A586" s="6">
        <v>45719</v>
      </c>
      <c r="B586" s="11">
        <v>0.76597222222222228</v>
      </c>
      <c r="C586" s="1" t="s">
        <v>1961</v>
      </c>
      <c r="D586" s="1" t="s">
        <v>1963</v>
      </c>
      <c r="E586" s="1" t="s">
        <v>1964</v>
      </c>
      <c r="F586" s="1">
        <v>132</v>
      </c>
      <c r="G586" s="1" t="str">
        <f t="shared" si="39"/>
        <v>Transmission</v>
      </c>
      <c r="H586" s="1" t="s">
        <v>14</v>
      </c>
      <c r="I586" s="1" t="s">
        <v>15</v>
      </c>
      <c r="J586" s="11">
        <v>0.80763888888888891</v>
      </c>
      <c r="K586" s="7">
        <v>1</v>
      </c>
      <c r="L586" s="1" t="s">
        <v>751</v>
      </c>
      <c r="M586" s="1" t="s">
        <v>1960</v>
      </c>
      <c r="N586" s="1" t="s">
        <v>156</v>
      </c>
      <c r="O586" s="1" t="str">
        <f t="shared" si="41"/>
        <v>High</v>
      </c>
      <c r="P586" s="1" t="str">
        <f t="shared" si="40"/>
        <v>Permanent</v>
      </c>
    </row>
    <row r="587" spans="1:16" x14ac:dyDescent="0.3">
      <c r="A587" s="6">
        <v>45719</v>
      </c>
      <c r="B587" s="11">
        <v>0.93541666666666667</v>
      </c>
      <c r="C587" s="1" t="s">
        <v>1965</v>
      </c>
      <c r="D587" s="1" t="s">
        <v>1952</v>
      </c>
      <c r="E587" s="1" t="s">
        <v>1953</v>
      </c>
      <c r="F587" s="1">
        <v>400</v>
      </c>
      <c r="G587" s="1" t="str">
        <f t="shared" si="39"/>
        <v>Transmission</v>
      </c>
      <c r="H587" s="1" t="s">
        <v>313</v>
      </c>
      <c r="I587" s="1" t="s">
        <v>64</v>
      </c>
      <c r="J587" s="11">
        <v>2.013888888888889E-2</v>
      </c>
      <c r="K587" s="7">
        <v>0.08</v>
      </c>
      <c r="L587" s="1" t="s">
        <v>17</v>
      </c>
      <c r="M587" s="1" t="s">
        <v>1960</v>
      </c>
      <c r="N587" s="1" t="s">
        <v>156</v>
      </c>
      <c r="O587" s="1" t="str">
        <f t="shared" si="41"/>
        <v>Low</v>
      </c>
      <c r="P587" s="1" t="str">
        <f t="shared" si="40"/>
        <v>Transient</v>
      </c>
    </row>
    <row r="588" spans="1:16" x14ac:dyDescent="0.3">
      <c r="A588" s="6">
        <v>45719</v>
      </c>
      <c r="B588" s="11">
        <v>1.6666666666666666E-2</v>
      </c>
      <c r="C588" s="1" t="s">
        <v>1965</v>
      </c>
      <c r="D588" s="1" t="s">
        <v>1955</v>
      </c>
      <c r="E588" s="1" t="s">
        <v>1956</v>
      </c>
      <c r="F588" s="1">
        <v>400</v>
      </c>
      <c r="G588" s="1" t="str">
        <f t="shared" si="39"/>
        <v>Transmission</v>
      </c>
      <c r="H588" s="1" t="s">
        <v>313</v>
      </c>
      <c r="I588" s="1" t="s">
        <v>64</v>
      </c>
      <c r="J588" s="11">
        <v>2.013888888888889E-2</v>
      </c>
      <c r="K588" s="7">
        <v>0.08</v>
      </c>
      <c r="L588" s="1" t="s">
        <v>751</v>
      </c>
      <c r="M588" s="1" t="s">
        <v>1966</v>
      </c>
      <c r="N588" s="1" t="s">
        <v>156</v>
      </c>
      <c r="O588" s="1" t="str">
        <f t="shared" si="41"/>
        <v>Low</v>
      </c>
      <c r="P588" s="1" t="str">
        <f t="shared" si="40"/>
        <v>Transient</v>
      </c>
    </row>
    <row r="589" spans="1:16" x14ac:dyDescent="0.3">
      <c r="A589" s="6">
        <v>45723</v>
      </c>
      <c r="B589" s="11">
        <v>0.55208333333333337</v>
      </c>
      <c r="C589" s="1" t="s">
        <v>1967</v>
      </c>
      <c r="D589" s="1" t="s">
        <v>1968</v>
      </c>
      <c r="E589" s="1" t="s">
        <v>1969</v>
      </c>
      <c r="F589" s="1">
        <v>132</v>
      </c>
      <c r="G589" s="1" t="str">
        <f t="shared" si="39"/>
        <v>Transmission</v>
      </c>
      <c r="H589" s="1" t="s">
        <v>14</v>
      </c>
      <c r="I589" s="1" t="s">
        <v>79</v>
      </c>
      <c r="J589" s="11">
        <v>0.79513888888888884</v>
      </c>
      <c r="K589" s="7">
        <v>5.83</v>
      </c>
      <c r="L589" s="1" t="s">
        <v>481</v>
      </c>
      <c r="M589" s="1" t="s">
        <v>1970</v>
      </c>
      <c r="N589" s="1" t="s">
        <v>156</v>
      </c>
      <c r="O589" s="1" t="str">
        <f t="shared" si="41"/>
        <v>High</v>
      </c>
      <c r="P589" s="1" t="str">
        <f t="shared" si="40"/>
        <v>Permanent</v>
      </c>
    </row>
    <row r="590" spans="1:16" x14ac:dyDescent="0.3">
      <c r="A590" s="6">
        <v>45725</v>
      </c>
      <c r="B590" s="11">
        <v>0.77083333333333337</v>
      </c>
      <c r="C590" s="1" t="s">
        <v>1971</v>
      </c>
      <c r="D590" s="1" t="s">
        <v>1972</v>
      </c>
      <c r="E590" s="1" t="s">
        <v>776</v>
      </c>
      <c r="F590" s="1">
        <v>132</v>
      </c>
      <c r="G590" s="1" t="str">
        <f t="shared" si="39"/>
        <v>Transmission</v>
      </c>
      <c r="H590" s="1" t="s">
        <v>14</v>
      </c>
      <c r="I590" s="1" t="s">
        <v>15</v>
      </c>
      <c r="J590" s="11">
        <v>0.88263888888888886</v>
      </c>
      <c r="K590" s="7">
        <v>2.68</v>
      </c>
      <c r="L590" s="1" t="s">
        <v>1973</v>
      </c>
      <c r="M590" s="1" t="s">
        <v>1974</v>
      </c>
      <c r="N590" s="1" t="s">
        <v>156</v>
      </c>
      <c r="O590" s="1" t="str">
        <f t="shared" si="41"/>
        <v>High</v>
      </c>
      <c r="P590" s="1" t="str">
        <f t="shared" si="40"/>
        <v>Permanent</v>
      </c>
    </row>
    <row r="591" spans="1:16" x14ac:dyDescent="0.3">
      <c r="A591" s="6">
        <v>45725</v>
      </c>
      <c r="B591" s="11">
        <v>0.77083333333333337</v>
      </c>
      <c r="C591" s="1" t="s">
        <v>1971</v>
      </c>
      <c r="D591" s="1" t="s">
        <v>1975</v>
      </c>
      <c r="E591" s="1" t="s">
        <v>777</v>
      </c>
      <c r="F591" s="1">
        <v>132</v>
      </c>
      <c r="G591" s="1" t="str">
        <f t="shared" si="39"/>
        <v>Transmission</v>
      </c>
      <c r="H591" s="1" t="s">
        <v>14</v>
      </c>
      <c r="I591" s="1" t="s">
        <v>15</v>
      </c>
      <c r="J591" s="11">
        <v>0.88263888888888886</v>
      </c>
      <c r="K591" s="7">
        <v>2.68</v>
      </c>
      <c r="L591" s="1" t="s">
        <v>1976</v>
      </c>
      <c r="M591" s="1" t="s">
        <v>1810</v>
      </c>
      <c r="N591" s="1" t="s">
        <v>156</v>
      </c>
      <c r="O591" s="1" t="str">
        <f t="shared" si="41"/>
        <v>High</v>
      </c>
      <c r="P591" s="1" t="str">
        <f t="shared" si="40"/>
        <v>Permanent</v>
      </c>
    </row>
    <row r="592" spans="1:16" x14ac:dyDescent="0.3">
      <c r="A592" s="6">
        <v>45725</v>
      </c>
      <c r="B592" s="11">
        <v>0.77083333333333337</v>
      </c>
      <c r="C592" s="1" t="s">
        <v>1971</v>
      </c>
      <c r="D592" s="1" t="s">
        <v>1977</v>
      </c>
      <c r="E592" s="1" t="s">
        <v>1978</v>
      </c>
      <c r="F592" s="1">
        <v>132</v>
      </c>
      <c r="G592" s="1" t="str">
        <f t="shared" si="39"/>
        <v>Transmission</v>
      </c>
      <c r="H592" s="1" t="s">
        <v>14</v>
      </c>
      <c r="I592" s="1" t="s">
        <v>15</v>
      </c>
      <c r="J592" s="11">
        <v>6.3194444444444442E-2</v>
      </c>
      <c r="K592" s="7">
        <v>7.02</v>
      </c>
      <c r="L592" s="1" t="s">
        <v>1976</v>
      </c>
      <c r="M592" s="1" t="s">
        <v>1979</v>
      </c>
      <c r="N592" s="1" t="s">
        <v>156</v>
      </c>
      <c r="O592" s="1" t="str">
        <f t="shared" si="41"/>
        <v>High</v>
      </c>
      <c r="P592" s="1" t="str">
        <f t="shared" si="40"/>
        <v>Permanent</v>
      </c>
    </row>
    <row r="593" spans="1:16" x14ac:dyDescent="0.3">
      <c r="A593" s="6">
        <v>45725</v>
      </c>
      <c r="B593" s="11">
        <v>0.77083333333333337</v>
      </c>
      <c r="C593" s="1" t="s">
        <v>1971</v>
      </c>
      <c r="D593" s="1" t="s">
        <v>1980</v>
      </c>
      <c r="E593" s="1" t="s">
        <v>1981</v>
      </c>
      <c r="F593" s="1">
        <v>132</v>
      </c>
      <c r="G593" s="1" t="str">
        <f t="shared" si="39"/>
        <v>Transmission</v>
      </c>
      <c r="H593" s="1" t="s">
        <v>14</v>
      </c>
      <c r="I593" s="1" t="s">
        <v>15</v>
      </c>
      <c r="J593" s="11">
        <v>0.87361111111111112</v>
      </c>
      <c r="K593" s="7">
        <v>2.4700000000000002</v>
      </c>
      <c r="L593" s="1" t="s">
        <v>1982</v>
      </c>
      <c r="M593" s="1" t="s">
        <v>1983</v>
      </c>
      <c r="N593" s="1" t="s">
        <v>156</v>
      </c>
      <c r="O593" s="1" t="str">
        <f t="shared" si="41"/>
        <v>High</v>
      </c>
      <c r="P593" s="1" t="str">
        <f t="shared" si="40"/>
        <v>Permanent</v>
      </c>
    </row>
    <row r="594" spans="1:16" x14ac:dyDescent="0.3">
      <c r="A594" s="6">
        <v>45725</v>
      </c>
      <c r="B594" s="11">
        <v>0.77083333333333337</v>
      </c>
      <c r="C594" s="1" t="s">
        <v>1971</v>
      </c>
      <c r="D594" s="1" t="s">
        <v>1984</v>
      </c>
      <c r="E594" s="1" t="s">
        <v>1985</v>
      </c>
      <c r="F594" s="1">
        <v>132</v>
      </c>
      <c r="G594" s="1" t="str">
        <f t="shared" si="39"/>
        <v>Transmission</v>
      </c>
      <c r="H594" s="1" t="s">
        <v>14</v>
      </c>
      <c r="I594" s="1" t="s">
        <v>15</v>
      </c>
      <c r="J594" s="11">
        <v>0.10138888888888889</v>
      </c>
      <c r="K594" s="7">
        <v>7.93</v>
      </c>
      <c r="L594" s="1" t="s">
        <v>1982</v>
      </c>
      <c r="M594" s="1" t="s">
        <v>374</v>
      </c>
      <c r="N594" s="1" t="s">
        <v>156</v>
      </c>
      <c r="O594" s="1" t="str">
        <f t="shared" ref="O594:O614" si="42">IF(K594&lt;=0.083,"Low",IF(K594&lt;= 0.5,"Medium",IF(K594&gt;0.5,"High")))</f>
        <v>High</v>
      </c>
      <c r="P594" s="1" t="str">
        <f t="shared" si="40"/>
        <v>Permanent</v>
      </c>
    </row>
    <row r="595" spans="1:16" x14ac:dyDescent="0.3">
      <c r="A595" s="6">
        <v>45725</v>
      </c>
      <c r="B595" s="11">
        <v>0.77083333333333337</v>
      </c>
      <c r="C595" s="1" t="s">
        <v>1971</v>
      </c>
      <c r="D595" s="1" t="s">
        <v>1986</v>
      </c>
      <c r="E595" s="1" t="s">
        <v>1987</v>
      </c>
      <c r="F595" s="1">
        <v>132</v>
      </c>
      <c r="G595" s="1" t="str">
        <f t="shared" si="39"/>
        <v>Transmission</v>
      </c>
      <c r="H595" s="1" t="s">
        <v>14</v>
      </c>
      <c r="I595" s="1" t="s">
        <v>15</v>
      </c>
      <c r="J595" s="11">
        <v>0.8520833333333333</v>
      </c>
      <c r="K595" s="7">
        <v>1.95</v>
      </c>
      <c r="L595" s="1" t="s">
        <v>17</v>
      </c>
      <c r="M595" s="1" t="s">
        <v>1988</v>
      </c>
      <c r="N595" s="1" t="s">
        <v>156</v>
      </c>
      <c r="O595" s="1" t="str">
        <f t="shared" si="42"/>
        <v>High</v>
      </c>
      <c r="P595" s="1" t="str">
        <f t="shared" si="40"/>
        <v>Permanent</v>
      </c>
    </row>
    <row r="596" spans="1:16" x14ac:dyDescent="0.3">
      <c r="A596" s="6">
        <v>45725</v>
      </c>
      <c r="B596" s="11">
        <v>0.77083333333333337</v>
      </c>
      <c r="C596" s="1" t="s">
        <v>1971</v>
      </c>
      <c r="D596" s="1" t="s">
        <v>1989</v>
      </c>
      <c r="E596" s="1" t="s">
        <v>1990</v>
      </c>
      <c r="F596" s="1">
        <v>132</v>
      </c>
      <c r="G596" s="1" t="str">
        <f t="shared" si="39"/>
        <v>Transmission</v>
      </c>
      <c r="H596" s="1" t="s">
        <v>14</v>
      </c>
      <c r="I596" s="1" t="s">
        <v>15</v>
      </c>
      <c r="J596" s="11">
        <v>0.82986111111111116</v>
      </c>
      <c r="K596" s="7">
        <v>1.42</v>
      </c>
      <c r="L596" s="1" t="s">
        <v>17</v>
      </c>
      <c r="M596" s="1" t="s">
        <v>1991</v>
      </c>
      <c r="N596" s="1" t="s">
        <v>156</v>
      </c>
      <c r="O596" s="1" t="str">
        <f t="shared" si="42"/>
        <v>High</v>
      </c>
      <c r="P596" s="1" t="str">
        <f t="shared" si="40"/>
        <v>Permanent</v>
      </c>
    </row>
    <row r="597" spans="1:16" x14ac:dyDescent="0.3">
      <c r="A597" s="6">
        <v>45726</v>
      </c>
      <c r="B597" s="11">
        <v>0.13333333333333333</v>
      </c>
      <c r="C597" s="1" t="s">
        <v>1993</v>
      </c>
      <c r="D597" s="1" t="s">
        <v>1952</v>
      </c>
      <c r="E597" s="1" t="s">
        <v>1953</v>
      </c>
      <c r="F597" s="1">
        <v>400</v>
      </c>
      <c r="G597" s="1" t="str">
        <f t="shared" si="39"/>
        <v>Transmission</v>
      </c>
      <c r="H597" s="1" t="s">
        <v>313</v>
      </c>
      <c r="I597" s="1" t="s">
        <v>15</v>
      </c>
      <c r="J597" s="11">
        <v>0.24722222222222223</v>
      </c>
      <c r="K597" s="7">
        <v>2.73</v>
      </c>
      <c r="L597" s="1" t="s">
        <v>496</v>
      </c>
      <c r="M597" s="1" t="s">
        <v>1994</v>
      </c>
      <c r="N597" s="1" t="s">
        <v>156</v>
      </c>
      <c r="O597" s="1" t="str">
        <f t="shared" si="42"/>
        <v>High</v>
      </c>
      <c r="P597" s="1" t="str">
        <f t="shared" si="40"/>
        <v>Permanent</v>
      </c>
    </row>
    <row r="598" spans="1:16" x14ac:dyDescent="0.3">
      <c r="A598" s="6">
        <v>45726</v>
      </c>
      <c r="B598" s="11">
        <v>0.13333333333333333</v>
      </c>
      <c r="C598" s="1" t="s">
        <v>1993</v>
      </c>
      <c r="D598" s="1" t="s">
        <v>1955</v>
      </c>
      <c r="E598" s="1" t="s">
        <v>1956</v>
      </c>
      <c r="F598" s="1">
        <v>400</v>
      </c>
      <c r="G598" s="1" t="str">
        <f t="shared" si="39"/>
        <v>Transmission</v>
      </c>
      <c r="H598" s="1" t="s">
        <v>313</v>
      </c>
      <c r="I598" s="1" t="s">
        <v>15</v>
      </c>
      <c r="J598" s="11">
        <v>0.24652777777777779</v>
      </c>
      <c r="K598" s="7">
        <v>2.72</v>
      </c>
      <c r="L598" s="1" t="s">
        <v>1616</v>
      </c>
      <c r="M598" s="1" t="s">
        <v>1995</v>
      </c>
      <c r="N598" s="1" t="s">
        <v>156</v>
      </c>
      <c r="O598" s="1" t="str">
        <f t="shared" si="42"/>
        <v>High</v>
      </c>
      <c r="P598" s="1" t="str">
        <f t="shared" si="40"/>
        <v>Permanent</v>
      </c>
    </row>
    <row r="599" spans="1:16" x14ac:dyDescent="0.3">
      <c r="A599" s="6">
        <v>45729</v>
      </c>
      <c r="B599" s="11">
        <v>0.54236111111111107</v>
      </c>
      <c r="C599" s="1" t="s">
        <v>1967</v>
      </c>
      <c r="D599" s="1" t="s">
        <v>868</v>
      </c>
      <c r="E599" s="1" t="s">
        <v>1999</v>
      </c>
      <c r="F599" s="1">
        <v>220</v>
      </c>
      <c r="G599" s="1" t="str">
        <f t="shared" si="39"/>
        <v>Transmission</v>
      </c>
      <c r="H599" s="1" t="s">
        <v>21</v>
      </c>
      <c r="I599" s="1" t="s">
        <v>64</v>
      </c>
      <c r="J599" s="11">
        <v>0.59166666666666667</v>
      </c>
      <c r="K599" s="7">
        <v>1.18</v>
      </c>
      <c r="L599" s="1" t="s">
        <v>2000</v>
      </c>
      <c r="M599" s="1" t="s">
        <v>2001</v>
      </c>
      <c r="N599" s="1" t="s">
        <v>156</v>
      </c>
      <c r="O599" s="1" t="str">
        <f t="shared" si="42"/>
        <v>High</v>
      </c>
      <c r="P599" s="1" t="str">
        <f t="shared" si="40"/>
        <v>Permanent</v>
      </c>
    </row>
    <row r="600" spans="1:16" x14ac:dyDescent="0.3">
      <c r="A600" s="6">
        <v>45729</v>
      </c>
      <c r="B600" s="11">
        <v>0.54236111111111107</v>
      </c>
      <c r="C600" s="1" t="s">
        <v>1967</v>
      </c>
      <c r="D600" s="1" t="s">
        <v>2007</v>
      </c>
      <c r="E600" s="1" t="s">
        <v>2008</v>
      </c>
      <c r="F600" s="1">
        <v>220</v>
      </c>
      <c r="G600" s="1" t="str">
        <f t="shared" si="39"/>
        <v>Transmission</v>
      </c>
      <c r="H600" s="1" t="s">
        <v>21</v>
      </c>
      <c r="I600" s="1" t="s">
        <v>64</v>
      </c>
      <c r="J600" s="11">
        <v>0.61597222222222225</v>
      </c>
      <c r="K600" s="7">
        <v>1.77</v>
      </c>
      <c r="L600" s="1" t="s">
        <v>2009</v>
      </c>
      <c r="M600" s="1" t="s">
        <v>2010</v>
      </c>
      <c r="N600" s="1" t="s">
        <v>156</v>
      </c>
      <c r="O600" s="1" t="str">
        <f t="shared" si="42"/>
        <v>High</v>
      </c>
      <c r="P600" s="1" t="str">
        <f t="shared" si="40"/>
        <v>Permanent</v>
      </c>
    </row>
    <row r="601" spans="1:16" x14ac:dyDescent="0.3">
      <c r="A601" s="6">
        <v>45729</v>
      </c>
      <c r="B601" s="11">
        <v>0.54236111111111107</v>
      </c>
      <c r="C601" s="1" t="s">
        <v>1967</v>
      </c>
      <c r="D601" s="1" t="s">
        <v>2011</v>
      </c>
      <c r="E601" s="1" t="s">
        <v>2012</v>
      </c>
      <c r="F601" s="1">
        <v>220</v>
      </c>
      <c r="G601" s="1" t="str">
        <f t="shared" si="39"/>
        <v>Transmission</v>
      </c>
      <c r="H601" s="1" t="s">
        <v>21</v>
      </c>
      <c r="I601" s="1" t="s">
        <v>64</v>
      </c>
      <c r="J601" s="11">
        <v>0.60069444444444442</v>
      </c>
      <c r="K601" s="7">
        <v>1.4</v>
      </c>
      <c r="L601" s="1" t="s">
        <v>496</v>
      </c>
      <c r="M601" s="1" t="s">
        <v>2013</v>
      </c>
      <c r="N601" s="1" t="s">
        <v>156</v>
      </c>
      <c r="O601" s="1" t="str">
        <f t="shared" si="42"/>
        <v>High</v>
      </c>
      <c r="P601" s="1" t="str">
        <f t="shared" si="40"/>
        <v>Permanent</v>
      </c>
    </row>
    <row r="602" spans="1:16" x14ac:dyDescent="0.3">
      <c r="A602" s="6">
        <v>45729</v>
      </c>
      <c r="B602" s="11">
        <v>0.54236111111111107</v>
      </c>
      <c r="C602" s="1" t="s">
        <v>1967</v>
      </c>
      <c r="D602" s="1" t="s">
        <v>2014</v>
      </c>
      <c r="E602" s="1" t="s">
        <v>2015</v>
      </c>
      <c r="F602" s="1">
        <v>220</v>
      </c>
      <c r="G602" s="1" t="str">
        <f t="shared" si="39"/>
        <v>Transmission</v>
      </c>
      <c r="H602" s="1" t="s">
        <v>21</v>
      </c>
      <c r="I602" s="1" t="s">
        <v>64</v>
      </c>
      <c r="J602" s="11">
        <v>0.60069444444444442</v>
      </c>
      <c r="K602" s="7">
        <v>1.4</v>
      </c>
      <c r="L602" s="1" t="s">
        <v>1668</v>
      </c>
      <c r="M602" s="1" t="s">
        <v>2016</v>
      </c>
      <c r="N602" s="1" t="s">
        <v>156</v>
      </c>
      <c r="O602" s="1" t="str">
        <f t="shared" si="42"/>
        <v>High</v>
      </c>
      <c r="P602" s="1" t="str">
        <f t="shared" si="40"/>
        <v>Permanent</v>
      </c>
    </row>
    <row r="603" spans="1:16" x14ac:dyDescent="0.3">
      <c r="A603" s="6">
        <v>45729</v>
      </c>
      <c r="B603" s="11">
        <v>0.60763888888888884</v>
      </c>
      <c r="C603" s="1" t="s">
        <v>1967</v>
      </c>
      <c r="D603" s="1" t="s">
        <v>2017</v>
      </c>
      <c r="E603" s="1" t="s">
        <v>679</v>
      </c>
      <c r="F603" s="1">
        <v>132</v>
      </c>
      <c r="G603" s="1" t="str">
        <f t="shared" si="39"/>
        <v>Transmission</v>
      </c>
      <c r="H603" s="1" t="s">
        <v>14</v>
      </c>
      <c r="I603" s="1" t="s">
        <v>31</v>
      </c>
      <c r="J603" s="11">
        <v>0.60833333333333328</v>
      </c>
      <c r="K603" s="7">
        <v>0.02</v>
      </c>
      <c r="L603" s="1" t="s">
        <v>17</v>
      </c>
      <c r="M603" s="1" t="s">
        <v>2018</v>
      </c>
      <c r="N603" s="1" t="s">
        <v>156</v>
      </c>
      <c r="O603" s="1" t="str">
        <f t="shared" si="42"/>
        <v>Low</v>
      </c>
      <c r="P603" s="1" t="str">
        <f t="shared" si="40"/>
        <v>Transient</v>
      </c>
    </row>
    <row r="604" spans="1:16" x14ac:dyDescent="0.3">
      <c r="A604" s="6">
        <v>45729</v>
      </c>
      <c r="B604" s="11">
        <v>0.60763888888888884</v>
      </c>
      <c r="C604" s="1" t="s">
        <v>1967</v>
      </c>
      <c r="D604" s="1" t="s">
        <v>2019</v>
      </c>
      <c r="E604" s="1" t="s">
        <v>681</v>
      </c>
      <c r="F604" s="1">
        <v>132</v>
      </c>
      <c r="G604" s="1" t="str">
        <f t="shared" si="39"/>
        <v>Transmission</v>
      </c>
      <c r="H604" s="1" t="s">
        <v>14</v>
      </c>
      <c r="I604" s="1" t="s">
        <v>31</v>
      </c>
      <c r="J604" s="11">
        <v>0.60833333333333328</v>
      </c>
      <c r="K604" s="7">
        <v>0.02</v>
      </c>
      <c r="L604" s="1" t="s">
        <v>17</v>
      </c>
      <c r="M604" s="1" t="s">
        <v>1810</v>
      </c>
      <c r="N604" s="1" t="s">
        <v>156</v>
      </c>
      <c r="O604" s="1" t="str">
        <f t="shared" si="42"/>
        <v>Low</v>
      </c>
      <c r="P604" s="1" t="str">
        <f t="shared" si="40"/>
        <v>Transient</v>
      </c>
    </row>
    <row r="605" spans="1:16" x14ac:dyDescent="0.3">
      <c r="A605" s="6">
        <v>45729</v>
      </c>
      <c r="B605" s="11">
        <v>0.8979166666666667</v>
      </c>
      <c r="C605" s="1" t="s">
        <v>1993</v>
      </c>
      <c r="D605" s="1" t="s">
        <v>2020</v>
      </c>
      <c r="E605" s="1" t="s">
        <v>2021</v>
      </c>
      <c r="F605" s="1">
        <v>132</v>
      </c>
      <c r="G605" s="1" t="str">
        <f t="shared" si="39"/>
        <v>Transmission</v>
      </c>
      <c r="H605" s="1" t="s">
        <v>87</v>
      </c>
      <c r="I605" s="1" t="s">
        <v>15</v>
      </c>
      <c r="J605" s="11">
        <v>0.90347222222222223</v>
      </c>
      <c r="K605" s="7">
        <v>0.13</v>
      </c>
      <c r="L605" s="1" t="s">
        <v>2022</v>
      </c>
      <c r="M605" s="1" t="s">
        <v>2023</v>
      </c>
      <c r="N605" s="1" t="s">
        <v>156</v>
      </c>
      <c r="O605" s="1" t="str">
        <f t="shared" si="42"/>
        <v>Medium</v>
      </c>
      <c r="P605" s="1" t="str">
        <f t="shared" si="40"/>
        <v>Sustained</v>
      </c>
    </row>
    <row r="606" spans="1:16" x14ac:dyDescent="0.3">
      <c r="A606" s="6">
        <v>45729</v>
      </c>
      <c r="B606" s="11">
        <v>0.8979166666666667</v>
      </c>
      <c r="C606" s="1" t="s">
        <v>1993</v>
      </c>
      <c r="D606" s="1" t="s">
        <v>2024</v>
      </c>
      <c r="E606" s="1" t="s">
        <v>2025</v>
      </c>
      <c r="F606" s="1">
        <v>132</v>
      </c>
      <c r="G606" s="1" t="str">
        <f t="shared" si="39"/>
        <v>Transmission</v>
      </c>
      <c r="H606" s="1" t="s">
        <v>87</v>
      </c>
      <c r="I606" s="1" t="s">
        <v>15</v>
      </c>
      <c r="J606" s="11">
        <v>0.90555555555555556</v>
      </c>
      <c r="K606" s="7">
        <v>0.18</v>
      </c>
      <c r="L606" s="1" t="s">
        <v>17</v>
      </c>
      <c r="M606" s="1" t="s">
        <v>2026</v>
      </c>
      <c r="N606" s="1" t="s">
        <v>156</v>
      </c>
      <c r="O606" s="1" t="str">
        <f t="shared" si="42"/>
        <v>Medium</v>
      </c>
      <c r="P606" s="1" t="str">
        <f t="shared" si="40"/>
        <v>Sustained</v>
      </c>
    </row>
    <row r="607" spans="1:16" x14ac:dyDescent="0.3">
      <c r="A607" s="6">
        <v>45729</v>
      </c>
      <c r="B607" s="11">
        <v>0.90277777777777779</v>
      </c>
      <c r="C607" s="1" t="s">
        <v>2027</v>
      </c>
      <c r="D607" s="1" t="s">
        <v>1952</v>
      </c>
      <c r="E607" s="1" t="s">
        <v>1953</v>
      </c>
      <c r="F607" s="1">
        <v>400</v>
      </c>
      <c r="G607" s="1" t="str">
        <f t="shared" si="39"/>
        <v>Transmission</v>
      </c>
      <c r="H607" s="1" t="s">
        <v>313</v>
      </c>
      <c r="I607" s="1" t="s">
        <v>15</v>
      </c>
      <c r="J607" s="11">
        <v>0.98750000000000004</v>
      </c>
      <c r="K607" s="7">
        <v>2.0299999999999998</v>
      </c>
      <c r="L607" s="1" t="s">
        <v>496</v>
      </c>
      <c r="M607" s="1" t="s">
        <v>2028</v>
      </c>
      <c r="N607" s="1" t="s">
        <v>156</v>
      </c>
      <c r="O607" s="1" t="str">
        <f t="shared" si="42"/>
        <v>High</v>
      </c>
      <c r="P607" s="1" t="str">
        <f t="shared" si="40"/>
        <v>Permanent</v>
      </c>
    </row>
    <row r="608" spans="1:16" x14ac:dyDescent="0.3">
      <c r="A608" s="6">
        <v>45729</v>
      </c>
      <c r="B608" s="11">
        <v>0.90277777777777779</v>
      </c>
      <c r="C608" s="1" t="s">
        <v>2027</v>
      </c>
      <c r="D608" s="1" t="s">
        <v>1955</v>
      </c>
      <c r="E608" s="1" t="s">
        <v>1956</v>
      </c>
      <c r="F608" s="1">
        <v>400</v>
      </c>
      <c r="G608" s="1" t="str">
        <f t="shared" si="39"/>
        <v>Transmission</v>
      </c>
      <c r="H608" s="1" t="s">
        <v>313</v>
      </c>
      <c r="I608" s="1" t="s">
        <v>15</v>
      </c>
      <c r="J608" s="11">
        <v>0.98819444444444449</v>
      </c>
      <c r="K608" s="7">
        <v>2.0499999999999998</v>
      </c>
      <c r="L608" s="1" t="s">
        <v>751</v>
      </c>
      <c r="M608" s="1" t="s">
        <v>2029</v>
      </c>
      <c r="N608" s="1" t="s">
        <v>156</v>
      </c>
      <c r="O608" s="1" t="str">
        <f t="shared" si="42"/>
        <v>High</v>
      </c>
      <c r="P608" s="1" t="str">
        <f t="shared" si="40"/>
        <v>Permanent</v>
      </c>
    </row>
    <row r="609" spans="1:16" x14ac:dyDescent="0.3">
      <c r="A609" s="6">
        <v>45729</v>
      </c>
      <c r="B609" s="11">
        <v>0.9604166666666667</v>
      </c>
      <c r="C609" s="1" t="s">
        <v>2030</v>
      </c>
      <c r="D609" s="1" t="s">
        <v>2020</v>
      </c>
      <c r="E609" s="1" t="s">
        <v>2021</v>
      </c>
      <c r="F609" s="1">
        <v>132</v>
      </c>
      <c r="G609" s="1" t="str">
        <f t="shared" si="39"/>
        <v>Transmission</v>
      </c>
      <c r="H609" s="1" t="s">
        <v>87</v>
      </c>
      <c r="I609" s="1" t="s">
        <v>15</v>
      </c>
      <c r="J609" s="11">
        <v>0.96319444444444446</v>
      </c>
      <c r="K609" s="7">
        <v>7.0000000000000007E-2</v>
      </c>
      <c r="L609" s="1" t="s">
        <v>2022</v>
      </c>
      <c r="M609" s="1" t="s">
        <v>2023</v>
      </c>
      <c r="N609" s="1" t="s">
        <v>156</v>
      </c>
      <c r="O609" s="1" t="str">
        <f t="shared" si="42"/>
        <v>Low</v>
      </c>
      <c r="P609" s="1" t="str">
        <f t="shared" si="40"/>
        <v>Transient</v>
      </c>
    </row>
    <row r="610" spans="1:16" x14ac:dyDescent="0.3">
      <c r="A610" s="6">
        <v>45729</v>
      </c>
      <c r="B610" s="11">
        <v>0.9604166666666667</v>
      </c>
      <c r="C610" s="1" t="s">
        <v>2030</v>
      </c>
      <c r="D610" s="1" t="s">
        <v>2024</v>
      </c>
      <c r="E610" s="1" t="s">
        <v>2025</v>
      </c>
      <c r="F610" s="1">
        <v>132</v>
      </c>
      <c r="G610" s="1" t="str">
        <f t="shared" si="39"/>
        <v>Transmission</v>
      </c>
      <c r="H610" s="1" t="s">
        <v>87</v>
      </c>
      <c r="I610" s="1" t="s">
        <v>15</v>
      </c>
      <c r="J610" s="11">
        <v>0.96319444444444446</v>
      </c>
      <c r="K610" s="7">
        <v>7.0000000000000007E-2</v>
      </c>
      <c r="L610" s="1" t="s">
        <v>17</v>
      </c>
      <c r="M610" s="1" t="s">
        <v>2026</v>
      </c>
      <c r="N610" s="1" t="s">
        <v>156</v>
      </c>
      <c r="O610" s="1" t="str">
        <f t="shared" si="42"/>
        <v>Low</v>
      </c>
      <c r="P610" s="1" t="str">
        <f t="shared" si="40"/>
        <v>Transient</v>
      </c>
    </row>
    <row r="611" spans="1:16" x14ac:dyDescent="0.3">
      <c r="A611" s="6">
        <v>45732</v>
      </c>
      <c r="B611" s="11">
        <v>0.57916666666666672</v>
      </c>
      <c r="C611" s="1" t="s">
        <v>2031</v>
      </c>
      <c r="D611" s="1" t="s">
        <v>500</v>
      </c>
      <c r="E611" s="1" t="s">
        <v>2032</v>
      </c>
      <c r="F611" s="1">
        <v>132</v>
      </c>
      <c r="G611" s="1" t="str">
        <f t="shared" si="39"/>
        <v>Transmission</v>
      </c>
      <c r="H611" s="1" t="s">
        <v>14</v>
      </c>
      <c r="I611" s="1" t="s">
        <v>15</v>
      </c>
      <c r="J611" s="11">
        <v>0.67083333333333328</v>
      </c>
      <c r="K611" s="7">
        <v>2.2000000000000002</v>
      </c>
      <c r="L611" s="1" t="s">
        <v>1976</v>
      </c>
      <c r="M611" s="1" t="s">
        <v>2033</v>
      </c>
      <c r="N611" s="1" t="s">
        <v>156</v>
      </c>
      <c r="O611" s="1" t="str">
        <f t="shared" si="42"/>
        <v>High</v>
      </c>
      <c r="P611" s="1" t="str">
        <f t="shared" si="40"/>
        <v>Permanent</v>
      </c>
    </row>
    <row r="612" spans="1:16" x14ac:dyDescent="0.3">
      <c r="A612" s="6">
        <v>45732</v>
      </c>
      <c r="B612" s="11">
        <v>0.57916666666666672</v>
      </c>
      <c r="C612" s="1" t="s">
        <v>2031</v>
      </c>
      <c r="D612" s="1" t="s">
        <v>500</v>
      </c>
      <c r="E612" s="1" t="s">
        <v>2034</v>
      </c>
      <c r="F612" s="1">
        <v>132</v>
      </c>
      <c r="G612" s="1" t="str">
        <f t="shared" si="39"/>
        <v>Transmission</v>
      </c>
      <c r="H612" s="1" t="s">
        <v>14</v>
      </c>
      <c r="I612" s="1" t="s">
        <v>15</v>
      </c>
      <c r="J612" s="11">
        <v>0.67083333333333328</v>
      </c>
      <c r="K612" s="7">
        <v>2.2000000000000002</v>
      </c>
      <c r="L612" s="1" t="s">
        <v>1976</v>
      </c>
      <c r="M612" s="1" t="s">
        <v>2035</v>
      </c>
      <c r="N612" s="1" t="s">
        <v>156</v>
      </c>
      <c r="O612" s="1" t="str">
        <f t="shared" si="42"/>
        <v>High</v>
      </c>
      <c r="P612" s="1" t="str">
        <f t="shared" si="40"/>
        <v>Permanent</v>
      </c>
    </row>
    <row r="613" spans="1:16" x14ac:dyDescent="0.3">
      <c r="A613" s="6">
        <v>45734</v>
      </c>
      <c r="B613" s="11">
        <v>0.15902777777777777</v>
      </c>
      <c r="C613" s="1" t="s">
        <v>2036</v>
      </c>
      <c r="D613" s="1" t="s">
        <v>1952</v>
      </c>
      <c r="E613" s="1" t="s">
        <v>1953</v>
      </c>
      <c r="F613" s="1">
        <v>400</v>
      </c>
      <c r="G613" s="1" t="str">
        <f t="shared" ref="G613:G649" si="43">IF(F613&gt;=132,"Transmission",IF(F613&gt;=66,"Sub-Transmission","Distribution"))</f>
        <v>Transmission</v>
      </c>
      <c r="H613" s="1" t="s">
        <v>313</v>
      </c>
      <c r="I613" s="1" t="s">
        <v>15</v>
      </c>
      <c r="J613" s="11">
        <v>0.19930555555555557</v>
      </c>
      <c r="K613" s="7">
        <v>0.97</v>
      </c>
      <c r="L613" s="1" t="s">
        <v>496</v>
      </c>
      <c r="M613" s="1" t="s">
        <v>2037</v>
      </c>
      <c r="N613" s="1" t="s">
        <v>156</v>
      </c>
      <c r="O613" s="1" t="str">
        <f t="shared" si="42"/>
        <v>High</v>
      </c>
      <c r="P613" s="1" t="str">
        <f t="shared" ref="P613:P649" si="44">IF(O613="Low","Transient",IF(O613="Medium","Sustained",IF(O613="High","Permanent")))</f>
        <v>Permanent</v>
      </c>
    </row>
    <row r="614" spans="1:16" x14ac:dyDescent="0.3">
      <c r="A614" s="6">
        <v>45734</v>
      </c>
      <c r="B614" s="11">
        <v>0.15902777777777777</v>
      </c>
      <c r="C614" s="1" t="s">
        <v>2036</v>
      </c>
      <c r="D614" s="1" t="s">
        <v>1955</v>
      </c>
      <c r="E614" s="1" t="s">
        <v>1956</v>
      </c>
      <c r="F614" s="1">
        <v>400</v>
      </c>
      <c r="G614" s="1" t="str">
        <f t="shared" si="43"/>
        <v>Transmission</v>
      </c>
      <c r="H614" s="1" t="s">
        <v>313</v>
      </c>
      <c r="I614" s="1" t="s">
        <v>15</v>
      </c>
      <c r="J614" s="11">
        <v>0.19930555555555557</v>
      </c>
      <c r="K614" s="7">
        <v>0.97</v>
      </c>
      <c r="L614" s="1" t="s">
        <v>751</v>
      </c>
      <c r="M614" s="1" t="s">
        <v>2038</v>
      </c>
      <c r="N614" s="1" t="s">
        <v>156</v>
      </c>
      <c r="O614" s="1" t="str">
        <f t="shared" si="42"/>
        <v>High</v>
      </c>
      <c r="P614" s="1" t="str">
        <f t="shared" si="44"/>
        <v>Permanent</v>
      </c>
    </row>
    <row r="615" spans="1:16" x14ac:dyDescent="0.3">
      <c r="A615" s="6">
        <v>45739</v>
      </c>
      <c r="B615" s="11">
        <v>0.82986111111111116</v>
      </c>
      <c r="C615" s="1" t="s">
        <v>2039</v>
      </c>
      <c r="D615" s="1" t="s">
        <v>2042</v>
      </c>
      <c r="E615" s="1" t="s">
        <v>2043</v>
      </c>
      <c r="F615" s="1">
        <v>220</v>
      </c>
      <c r="G615" s="1" t="str">
        <f t="shared" si="43"/>
        <v>Transmission</v>
      </c>
      <c r="H615" s="1" t="s">
        <v>21</v>
      </c>
      <c r="I615" s="1" t="s">
        <v>31</v>
      </c>
      <c r="J615" s="11">
        <v>0.83263888888888893</v>
      </c>
      <c r="K615" s="7">
        <v>7.0000000000000007E-2</v>
      </c>
      <c r="L615" s="1" t="s">
        <v>17</v>
      </c>
      <c r="M615" s="1" t="s">
        <v>708</v>
      </c>
      <c r="N615" s="1" t="s">
        <v>156</v>
      </c>
      <c r="O615" s="1">
        <f>K576</f>
        <v>0.02</v>
      </c>
      <c r="P615" s="1" t="b">
        <f t="shared" si="44"/>
        <v>0</v>
      </c>
    </row>
    <row r="616" spans="1:16" x14ac:dyDescent="0.3">
      <c r="A616" s="6">
        <v>45739</v>
      </c>
      <c r="B616" s="11">
        <v>0.82986111111111116</v>
      </c>
      <c r="C616" s="1" t="s">
        <v>2039</v>
      </c>
      <c r="D616" s="1" t="s">
        <v>2044</v>
      </c>
      <c r="E616" s="1" t="s">
        <v>2045</v>
      </c>
      <c r="F616" s="1">
        <v>220</v>
      </c>
      <c r="G616" s="1" t="str">
        <f t="shared" si="43"/>
        <v>Transmission</v>
      </c>
      <c r="H616" s="1" t="s">
        <v>21</v>
      </c>
      <c r="I616" s="1" t="s">
        <v>31</v>
      </c>
      <c r="J616" s="11">
        <v>0.83263888888888893</v>
      </c>
      <c r="K616" s="7">
        <v>7.0000000000000007E-2</v>
      </c>
      <c r="L616" s="1" t="s">
        <v>17</v>
      </c>
      <c r="M616" s="1" t="s">
        <v>898</v>
      </c>
      <c r="N616" s="1" t="s">
        <v>156</v>
      </c>
      <c r="O616" s="1" t="str">
        <f t="shared" ref="O616:O649" si="45">IF(K616&lt;=0.083,"Low",IF(K616&lt;= 0.5,"Medium",IF(K616&gt;0.5,"High")))</f>
        <v>Low</v>
      </c>
      <c r="P616" s="1" t="str">
        <f t="shared" si="44"/>
        <v>Transient</v>
      </c>
    </row>
    <row r="617" spans="1:16" x14ac:dyDescent="0.3">
      <c r="A617" s="6">
        <v>45747</v>
      </c>
      <c r="B617" s="11">
        <v>0.95625000000000004</v>
      </c>
      <c r="C617" s="1" t="s">
        <v>2051</v>
      </c>
      <c r="D617" s="1" t="s">
        <v>2052</v>
      </c>
      <c r="E617" s="1" t="s">
        <v>2053</v>
      </c>
      <c r="F617" s="1">
        <v>400</v>
      </c>
      <c r="G617" s="1" t="str">
        <f t="shared" si="43"/>
        <v>Transmission</v>
      </c>
      <c r="H617" s="1" t="s">
        <v>87</v>
      </c>
      <c r="I617" s="1" t="s">
        <v>2048</v>
      </c>
      <c r="J617" s="11">
        <v>0.96250000000000002</v>
      </c>
      <c r="K617" s="7">
        <v>0.15</v>
      </c>
      <c r="L617" s="1" t="s">
        <v>673</v>
      </c>
      <c r="M617" s="1" t="s">
        <v>2054</v>
      </c>
      <c r="N617" s="1" t="s">
        <v>156</v>
      </c>
      <c r="O617" s="1" t="str">
        <f t="shared" si="45"/>
        <v>Medium</v>
      </c>
      <c r="P617" s="1" t="str">
        <f t="shared" si="44"/>
        <v>Sustained</v>
      </c>
    </row>
    <row r="618" spans="1:16" x14ac:dyDescent="0.3">
      <c r="A618" s="6">
        <v>45747</v>
      </c>
      <c r="B618" s="11">
        <v>0.95625000000000004</v>
      </c>
      <c r="C618" s="1" t="s">
        <v>2051</v>
      </c>
      <c r="D618" s="1" t="s">
        <v>2055</v>
      </c>
      <c r="E618" s="1" t="s">
        <v>2056</v>
      </c>
      <c r="F618" s="1">
        <v>400</v>
      </c>
      <c r="G618" s="1" t="str">
        <f t="shared" si="43"/>
        <v>Transmission</v>
      </c>
      <c r="H618" s="1" t="s">
        <v>87</v>
      </c>
      <c r="I618" s="1" t="s">
        <v>2048</v>
      </c>
      <c r="J618" s="11">
        <v>0.96319444444444446</v>
      </c>
      <c r="K618" s="7">
        <v>0.17</v>
      </c>
      <c r="L618" s="1" t="s">
        <v>1678</v>
      </c>
      <c r="M618" s="1" t="s">
        <v>2057</v>
      </c>
      <c r="N618" s="1" t="s">
        <v>156</v>
      </c>
      <c r="O618" s="1" t="str">
        <f t="shared" si="45"/>
        <v>Medium</v>
      </c>
      <c r="P618" s="1" t="str">
        <f t="shared" si="44"/>
        <v>Sustained</v>
      </c>
    </row>
    <row r="619" spans="1:16" x14ac:dyDescent="0.3">
      <c r="A619" s="6">
        <v>45755</v>
      </c>
      <c r="B619" s="11">
        <v>0.59097222222222223</v>
      </c>
      <c r="C619" s="1" t="s">
        <v>2058</v>
      </c>
      <c r="D619" s="1" t="s">
        <v>2059</v>
      </c>
      <c r="E619" s="1" t="s">
        <v>1717</v>
      </c>
      <c r="F619" s="1">
        <v>132</v>
      </c>
      <c r="G619" s="1" t="str">
        <f t="shared" si="43"/>
        <v>Transmission</v>
      </c>
      <c r="H619" s="1" t="s">
        <v>14</v>
      </c>
      <c r="I619" s="1" t="s">
        <v>31</v>
      </c>
      <c r="J619" s="11">
        <v>0.67500000000000004</v>
      </c>
      <c r="K619" s="7">
        <v>2.02</v>
      </c>
      <c r="L619" s="1" t="s">
        <v>397</v>
      </c>
      <c r="M619" s="1" t="s">
        <v>2060</v>
      </c>
      <c r="N619" s="1" t="s">
        <v>278</v>
      </c>
      <c r="O619" s="1" t="str">
        <f t="shared" si="45"/>
        <v>High</v>
      </c>
      <c r="P619" s="1" t="str">
        <f t="shared" si="44"/>
        <v>Permanent</v>
      </c>
    </row>
    <row r="620" spans="1:16" x14ac:dyDescent="0.3">
      <c r="A620" s="6">
        <v>45756</v>
      </c>
      <c r="B620" s="11">
        <v>0.37708333333333333</v>
      </c>
      <c r="C620" s="1" t="s">
        <v>2063</v>
      </c>
      <c r="D620" s="1" t="s">
        <v>2064</v>
      </c>
      <c r="E620" s="1" t="s">
        <v>2065</v>
      </c>
      <c r="F620" s="1">
        <v>132</v>
      </c>
      <c r="G620" s="1" t="str">
        <f t="shared" si="43"/>
        <v>Transmission</v>
      </c>
      <c r="H620" s="1" t="s">
        <v>14</v>
      </c>
      <c r="I620" s="1" t="s">
        <v>31</v>
      </c>
      <c r="J620" s="11">
        <v>0.42083333333333334</v>
      </c>
      <c r="K620" s="7">
        <v>1.05</v>
      </c>
      <c r="L620" s="1" t="s">
        <v>2003</v>
      </c>
      <c r="M620" s="1" t="s">
        <v>2066</v>
      </c>
      <c r="N620" s="1" t="s">
        <v>278</v>
      </c>
      <c r="O620" s="1" t="str">
        <f t="shared" si="45"/>
        <v>High</v>
      </c>
      <c r="P620" s="1" t="str">
        <f t="shared" si="44"/>
        <v>Permanent</v>
      </c>
    </row>
    <row r="621" spans="1:16" x14ac:dyDescent="0.3">
      <c r="A621" s="6">
        <v>45758</v>
      </c>
      <c r="B621" s="11">
        <v>0.38819444444444445</v>
      </c>
      <c r="C621" s="1" t="s">
        <v>2067</v>
      </c>
      <c r="D621" s="1" t="s">
        <v>1952</v>
      </c>
      <c r="E621" s="1" t="s">
        <v>1953</v>
      </c>
      <c r="F621" s="1">
        <v>400</v>
      </c>
      <c r="G621" s="1" t="str">
        <f t="shared" si="43"/>
        <v>Transmission</v>
      </c>
      <c r="H621" s="1" t="s">
        <v>313</v>
      </c>
      <c r="I621" s="1" t="s">
        <v>15</v>
      </c>
      <c r="J621" s="11">
        <v>0.42291666666666666</v>
      </c>
      <c r="K621" s="7">
        <v>0.83</v>
      </c>
      <c r="L621" s="1" t="s">
        <v>496</v>
      </c>
      <c r="M621" s="1" t="s">
        <v>2068</v>
      </c>
      <c r="N621" s="1" t="s">
        <v>278</v>
      </c>
      <c r="O621" s="1" t="str">
        <f t="shared" si="45"/>
        <v>High</v>
      </c>
      <c r="P621" s="1" t="str">
        <f t="shared" si="44"/>
        <v>Permanent</v>
      </c>
    </row>
    <row r="622" spans="1:16" x14ac:dyDescent="0.3">
      <c r="A622" s="6">
        <v>45758</v>
      </c>
      <c r="B622" s="11">
        <v>0.38819444444444445</v>
      </c>
      <c r="C622" s="1" t="s">
        <v>2067</v>
      </c>
      <c r="D622" s="1" t="s">
        <v>1955</v>
      </c>
      <c r="E622" s="1" t="s">
        <v>1956</v>
      </c>
      <c r="F622" s="1">
        <v>4000</v>
      </c>
      <c r="G622" s="1" t="str">
        <f t="shared" si="43"/>
        <v>Transmission</v>
      </c>
      <c r="H622" s="1" t="s">
        <v>313</v>
      </c>
      <c r="I622" s="1" t="s">
        <v>15</v>
      </c>
      <c r="J622" s="11">
        <v>0.42152777777777778</v>
      </c>
      <c r="K622" s="7">
        <v>0.8</v>
      </c>
      <c r="L622" s="1" t="s">
        <v>751</v>
      </c>
      <c r="M622" s="1" t="s">
        <v>2069</v>
      </c>
      <c r="N622" s="1" t="s">
        <v>278</v>
      </c>
      <c r="O622" s="1" t="str">
        <f t="shared" si="45"/>
        <v>High</v>
      </c>
      <c r="P622" s="1" t="str">
        <f t="shared" si="44"/>
        <v>Permanent</v>
      </c>
    </row>
    <row r="623" spans="1:16" x14ac:dyDescent="0.3">
      <c r="A623" s="6">
        <v>45766</v>
      </c>
      <c r="B623" s="11">
        <v>0.3</v>
      </c>
      <c r="C623" s="1" t="s">
        <v>2073</v>
      </c>
      <c r="D623" s="1" t="s">
        <v>2074</v>
      </c>
      <c r="E623" s="1" t="s">
        <v>2075</v>
      </c>
      <c r="F623" s="1">
        <v>220</v>
      </c>
      <c r="G623" s="1" t="str">
        <f t="shared" si="43"/>
        <v>Transmission</v>
      </c>
      <c r="H623" s="1" t="s">
        <v>21</v>
      </c>
      <c r="I623" s="1" t="s">
        <v>64</v>
      </c>
      <c r="J623" s="11">
        <v>0.34027777777777779</v>
      </c>
      <c r="K623" s="7">
        <v>0.97</v>
      </c>
      <c r="L623" s="1" t="s">
        <v>1678</v>
      </c>
      <c r="M623" s="1" t="s">
        <v>2076</v>
      </c>
      <c r="N623" s="1" t="s">
        <v>278</v>
      </c>
      <c r="O623" s="1" t="str">
        <f t="shared" si="45"/>
        <v>High</v>
      </c>
      <c r="P623" s="1" t="str">
        <f t="shared" si="44"/>
        <v>Permanent</v>
      </c>
    </row>
    <row r="624" spans="1:16" x14ac:dyDescent="0.3">
      <c r="A624" s="6">
        <v>45766</v>
      </c>
      <c r="B624" s="11">
        <v>0.89930555555555558</v>
      </c>
      <c r="C624" s="1" t="s">
        <v>2083</v>
      </c>
      <c r="D624" s="1" t="s">
        <v>2084</v>
      </c>
      <c r="E624" s="1" t="s">
        <v>1794</v>
      </c>
      <c r="F624" s="1">
        <v>400</v>
      </c>
      <c r="G624" s="1" t="str">
        <f t="shared" si="43"/>
        <v>Transmission</v>
      </c>
      <c r="H624" s="1" t="s">
        <v>47</v>
      </c>
      <c r="I624" s="1" t="s">
        <v>15</v>
      </c>
      <c r="J624" s="11">
        <v>0.91597222222222219</v>
      </c>
      <c r="K624" s="7">
        <v>0.4</v>
      </c>
      <c r="L624" s="1" t="s">
        <v>1668</v>
      </c>
      <c r="M624" s="1" t="s">
        <v>2085</v>
      </c>
      <c r="N624" s="1" t="s">
        <v>278</v>
      </c>
      <c r="O624" s="1" t="str">
        <f t="shared" si="45"/>
        <v>Medium</v>
      </c>
      <c r="P624" s="1" t="str">
        <f t="shared" si="44"/>
        <v>Sustained</v>
      </c>
    </row>
    <row r="625" spans="1:16" x14ac:dyDescent="0.3">
      <c r="A625" s="6">
        <v>45766</v>
      </c>
      <c r="B625" s="11">
        <v>0.89930555555555558</v>
      </c>
      <c r="C625" s="1" t="s">
        <v>2083</v>
      </c>
      <c r="D625" s="1" t="s">
        <v>2086</v>
      </c>
      <c r="E625" s="1" t="s">
        <v>1531</v>
      </c>
      <c r="F625" s="1">
        <v>400</v>
      </c>
      <c r="G625" s="1" t="str">
        <f t="shared" si="43"/>
        <v>Transmission</v>
      </c>
      <c r="H625" s="1" t="s">
        <v>47</v>
      </c>
      <c r="I625" s="1" t="s">
        <v>15</v>
      </c>
      <c r="J625" s="11">
        <v>0.92361111111111116</v>
      </c>
      <c r="K625" s="7">
        <v>0.57999999999999996</v>
      </c>
      <c r="L625" s="1" t="s">
        <v>1668</v>
      </c>
      <c r="M625" s="1" t="s">
        <v>2087</v>
      </c>
      <c r="N625" s="1" t="s">
        <v>278</v>
      </c>
      <c r="O625" s="1" t="str">
        <f t="shared" si="45"/>
        <v>High</v>
      </c>
      <c r="P625" s="1" t="str">
        <f t="shared" si="44"/>
        <v>Permanent</v>
      </c>
    </row>
    <row r="626" spans="1:16" x14ac:dyDescent="0.3">
      <c r="A626" s="6">
        <v>45766</v>
      </c>
      <c r="B626" s="11">
        <v>0.89930555555555558</v>
      </c>
      <c r="C626" s="1" t="s">
        <v>2083</v>
      </c>
      <c r="D626" s="1" t="s">
        <v>2088</v>
      </c>
      <c r="E626" s="1" t="s">
        <v>2089</v>
      </c>
      <c r="F626" s="1">
        <v>400</v>
      </c>
      <c r="G626" s="1" t="str">
        <f t="shared" si="43"/>
        <v>Transmission</v>
      </c>
      <c r="H626" s="1" t="s">
        <v>47</v>
      </c>
      <c r="I626" s="1" t="s">
        <v>15</v>
      </c>
      <c r="J626" s="11">
        <v>0.92361111111111116</v>
      </c>
      <c r="K626" s="7">
        <v>0.57999999999999996</v>
      </c>
      <c r="L626" s="1" t="s">
        <v>1806</v>
      </c>
      <c r="M626" s="1" t="s">
        <v>382</v>
      </c>
      <c r="N626" s="1" t="s">
        <v>278</v>
      </c>
      <c r="O626" s="1" t="str">
        <f t="shared" si="45"/>
        <v>High</v>
      </c>
      <c r="P626" s="1" t="str">
        <f t="shared" si="44"/>
        <v>Permanent</v>
      </c>
    </row>
    <row r="627" spans="1:16" x14ac:dyDescent="0.3">
      <c r="A627" s="6">
        <v>45781</v>
      </c>
      <c r="B627" s="11">
        <v>0.21597222222222223</v>
      </c>
      <c r="C627" s="1" t="s">
        <v>2105</v>
      </c>
      <c r="D627" s="1" t="s">
        <v>1952</v>
      </c>
      <c r="E627" s="1" t="s">
        <v>1953</v>
      </c>
      <c r="F627" s="1">
        <v>400</v>
      </c>
      <c r="G627" s="1" t="str">
        <f t="shared" si="43"/>
        <v>Transmission</v>
      </c>
      <c r="H627" s="1" t="s">
        <v>313</v>
      </c>
      <c r="I627" s="1" t="s">
        <v>64</v>
      </c>
      <c r="J627" s="11">
        <v>0.22013888888888888</v>
      </c>
      <c r="K627" s="7">
        <v>0.1</v>
      </c>
      <c r="L627" s="1" t="s">
        <v>496</v>
      </c>
      <c r="M627" s="1" t="s">
        <v>2106</v>
      </c>
      <c r="N627" s="1" t="s">
        <v>367</v>
      </c>
      <c r="O627" s="1" t="str">
        <f t="shared" si="45"/>
        <v>Medium</v>
      </c>
      <c r="P627" s="1" t="str">
        <f t="shared" si="44"/>
        <v>Sustained</v>
      </c>
    </row>
    <row r="628" spans="1:16" x14ac:dyDescent="0.3">
      <c r="A628" s="6">
        <v>45781</v>
      </c>
      <c r="B628" s="11">
        <v>0.21597222222222223</v>
      </c>
      <c r="C628" s="1" t="s">
        <v>2105</v>
      </c>
      <c r="D628" s="1" t="s">
        <v>1955</v>
      </c>
      <c r="E628" s="1" t="s">
        <v>1956</v>
      </c>
      <c r="F628" s="1">
        <v>400</v>
      </c>
      <c r="G628" s="1" t="str">
        <f t="shared" si="43"/>
        <v>Transmission</v>
      </c>
      <c r="H628" s="1" t="s">
        <v>313</v>
      </c>
      <c r="I628" s="1" t="s">
        <v>64</v>
      </c>
      <c r="J628" s="11">
        <v>0.22013888888888888</v>
      </c>
      <c r="K628" s="7">
        <v>0.1</v>
      </c>
      <c r="L628" s="1" t="s">
        <v>751</v>
      </c>
      <c r="M628" s="1" t="s">
        <v>2107</v>
      </c>
      <c r="N628" s="1" t="s">
        <v>367</v>
      </c>
      <c r="O628" s="1" t="str">
        <f t="shared" si="45"/>
        <v>Medium</v>
      </c>
      <c r="P628" s="1" t="str">
        <f t="shared" si="44"/>
        <v>Sustained</v>
      </c>
    </row>
    <row r="629" spans="1:16" x14ac:dyDescent="0.3">
      <c r="A629" s="6">
        <v>45784</v>
      </c>
      <c r="B629" s="11">
        <v>0.58125000000000004</v>
      </c>
      <c r="C629" s="1" t="s">
        <v>2108</v>
      </c>
      <c r="D629" s="1" t="s">
        <v>2109</v>
      </c>
      <c r="E629" s="1" t="s">
        <v>671</v>
      </c>
      <c r="F629" s="1">
        <v>132</v>
      </c>
      <c r="G629" s="1" t="str">
        <f t="shared" si="43"/>
        <v>Transmission</v>
      </c>
      <c r="H629" s="1" t="s">
        <v>87</v>
      </c>
      <c r="I629" s="1" t="s">
        <v>64</v>
      </c>
      <c r="J629" s="11">
        <v>0.81041666666666667</v>
      </c>
      <c r="K629" s="7">
        <v>5.5</v>
      </c>
      <c r="L629" s="1" t="s">
        <v>2110</v>
      </c>
      <c r="M629" s="1" t="s">
        <v>2111</v>
      </c>
      <c r="N629" s="1" t="s">
        <v>367</v>
      </c>
      <c r="O629" s="1" t="str">
        <f t="shared" si="45"/>
        <v>High</v>
      </c>
      <c r="P629" s="1" t="str">
        <f t="shared" si="44"/>
        <v>Permanent</v>
      </c>
    </row>
    <row r="630" spans="1:16" x14ac:dyDescent="0.3">
      <c r="A630" s="6">
        <v>45784</v>
      </c>
      <c r="B630" s="11">
        <v>0.66180555555555554</v>
      </c>
      <c r="C630" s="1" t="s">
        <v>2112</v>
      </c>
      <c r="D630" s="1" t="s">
        <v>2113</v>
      </c>
      <c r="E630" s="1" t="s">
        <v>2114</v>
      </c>
      <c r="F630" s="1">
        <v>220</v>
      </c>
      <c r="G630" s="1" t="str">
        <f t="shared" si="43"/>
        <v>Transmission</v>
      </c>
      <c r="H630" s="1" t="s">
        <v>21</v>
      </c>
      <c r="I630" s="1" t="s">
        <v>15</v>
      </c>
      <c r="J630" s="11">
        <v>0.7270833333333333</v>
      </c>
      <c r="K630" s="7">
        <v>1.57</v>
      </c>
      <c r="L630" s="1" t="s">
        <v>496</v>
      </c>
      <c r="M630" s="1" t="s">
        <v>2115</v>
      </c>
      <c r="N630" s="1" t="s">
        <v>367</v>
      </c>
      <c r="O630" s="1" t="str">
        <f t="shared" si="45"/>
        <v>High</v>
      </c>
      <c r="P630" s="1" t="str">
        <f t="shared" si="44"/>
        <v>Permanent</v>
      </c>
    </row>
    <row r="631" spans="1:16" x14ac:dyDescent="0.3">
      <c r="A631" s="6">
        <v>45790</v>
      </c>
      <c r="B631" s="11">
        <v>0.25486111111111109</v>
      </c>
      <c r="C631" s="1" t="s">
        <v>2116</v>
      </c>
      <c r="D631" s="1" t="s">
        <v>2117</v>
      </c>
      <c r="E631" s="1" t="s">
        <v>2118</v>
      </c>
      <c r="F631" s="1">
        <v>132</v>
      </c>
      <c r="G631" s="1" t="str">
        <f t="shared" si="43"/>
        <v>Transmission</v>
      </c>
      <c r="H631" s="1" t="s">
        <v>14</v>
      </c>
      <c r="I631" s="1" t="s">
        <v>15</v>
      </c>
      <c r="J631" s="11">
        <v>0.27986111111111112</v>
      </c>
      <c r="K631" s="7">
        <v>0.6</v>
      </c>
      <c r="L631" s="1" t="s">
        <v>1672</v>
      </c>
      <c r="M631" s="1" t="s">
        <v>374</v>
      </c>
      <c r="N631" s="1" t="s">
        <v>367</v>
      </c>
      <c r="O631" s="1" t="str">
        <f t="shared" si="45"/>
        <v>High</v>
      </c>
      <c r="P631" s="1" t="str">
        <f t="shared" si="44"/>
        <v>Permanent</v>
      </c>
    </row>
    <row r="632" spans="1:16" x14ac:dyDescent="0.3">
      <c r="A632" s="6">
        <v>45799</v>
      </c>
      <c r="B632" s="11">
        <v>0.81805555555555554</v>
      </c>
      <c r="C632" s="1" t="s">
        <v>2119</v>
      </c>
      <c r="D632" s="1" t="s">
        <v>2120</v>
      </c>
      <c r="E632" s="1" t="s">
        <v>2121</v>
      </c>
      <c r="F632" s="1">
        <v>220</v>
      </c>
      <c r="G632" s="1" t="str">
        <f t="shared" si="43"/>
        <v>Transmission</v>
      </c>
      <c r="H632" s="1" t="s">
        <v>14</v>
      </c>
      <c r="I632" s="1" t="s">
        <v>15</v>
      </c>
      <c r="J632" s="11">
        <v>0.82291666666666663</v>
      </c>
      <c r="K632" s="7">
        <v>0.12</v>
      </c>
      <c r="L632" s="1" t="s">
        <v>17</v>
      </c>
      <c r="M632" s="1" t="s">
        <v>2122</v>
      </c>
      <c r="N632" s="1" t="s">
        <v>367</v>
      </c>
      <c r="O632" s="1" t="str">
        <f t="shared" si="45"/>
        <v>Medium</v>
      </c>
      <c r="P632" s="1" t="str">
        <f t="shared" si="44"/>
        <v>Sustained</v>
      </c>
    </row>
    <row r="633" spans="1:16" x14ac:dyDescent="0.3">
      <c r="A633" s="6">
        <v>45800</v>
      </c>
      <c r="B633" s="11">
        <v>6.3888888888888884E-2</v>
      </c>
      <c r="C633" s="1" t="s">
        <v>2123</v>
      </c>
      <c r="D633" s="1" t="s">
        <v>2120</v>
      </c>
      <c r="E633" s="1" t="s">
        <v>2121</v>
      </c>
      <c r="F633" s="1">
        <v>220</v>
      </c>
      <c r="G633" s="1" t="str">
        <f t="shared" si="43"/>
        <v>Transmission</v>
      </c>
      <c r="H633" s="1" t="s">
        <v>14</v>
      </c>
      <c r="I633" s="1" t="s">
        <v>15</v>
      </c>
      <c r="J633" s="11">
        <v>6.458333333333334E-2</v>
      </c>
      <c r="K633" s="7">
        <v>0.02</v>
      </c>
      <c r="L633" s="1" t="s">
        <v>17</v>
      </c>
      <c r="M633" s="1" t="s">
        <v>708</v>
      </c>
      <c r="N633" s="1" t="s">
        <v>367</v>
      </c>
      <c r="O633" s="1" t="str">
        <f t="shared" si="45"/>
        <v>Low</v>
      </c>
      <c r="P633" s="1" t="str">
        <f t="shared" si="44"/>
        <v>Transient</v>
      </c>
    </row>
    <row r="634" spans="1:16" x14ac:dyDescent="0.3">
      <c r="A634" s="6">
        <v>45808</v>
      </c>
      <c r="B634" s="11">
        <v>0.98263888888888884</v>
      </c>
      <c r="C634" s="1" t="s">
        <v>2124</v>
      </c>
      <c r="D634" s="1" t="s">
        <v>2011</v>
      </c>
      <c r="E634" s="1" t="s">
        <v>2125</v>
      </c>
      <c r="F634" s="1">
        <v>220</v>
      </c>
      <c r="G634" s="1" t="str">
        <f t="shared" si="43"/>
        <v>Transmission</v>
      </c>
      <c r="H634" s="1" t="s">
        <v>21</v>
      </c>
      <c r="I634" s="1" t="s">
        <v>15</v>
      </c>
      <c r="J634" s="11">
        <v>5.2083333333333336E-2</v>
      </c>
      <c r="K634" s="7">
        <v>1.67</v>
      </c>
      <c r="L634" s="1" t="s">
        <v>496</v>
      </c>
      <c r="M634" s="1" t="s">
        <v>2126</v>
      </c>
      <c r="N634" s="1" t="s">
        <v>367</v>
      </c>
      <c r="O634" s="1" t="str">
        <f t="shared" si="45"/>
        <v>High</v>
      </c>
      <c r="P634" s="1" t="str">
        <f t="shared" si="44"/>
        <v>Permanent</v>
      </c>
    </row>
    <row r="635" spans="1:16" x14ac:dyDescent="0.3">
      <c r="A635" s="6">
        <v>45808</v>
      </c>
      <c r="B635" s="11">
        <v>0.98263888888888884</v>
      </c>
      <c r="C635" s="1" t="s">
        <v>2124</v>
      </c>
      <c r="D635" s="1" t="s">
        <v>2127</v>
      </c>
      <c r="E635" s="1" t="s">
        <v>2128</v>
      </c>
      <c r="F635" s="1">
        <v>220</v>
      </c>
      <c r="G635" s="1" t="str">
        <f t="shared" si="43"/>
        <v>Transmission</v>
      </c>
      <c r="H635" s="1" t="s">
        <v>21</v>
      </c>
      <c r="I635" s="1" t="s">
        <v>15</v>
      </c>
      <c r="J635" s="11">
        <v>5.6250000000000001E-2</v>
      </c>
      <c r="K635" s="7">
        <v>1.77</v>
      </c>
      <c r="L635" s="1" t="s">
        <v>1577</v>
      </c>
      <c r="M635" s="1" t="s">
        <v>2129</v>
      </c>
      <c r="N635" s="1" t="s">
        <v>367</v>
      </c>
      <c r="O635" s="1" t="str">
        <f t="shared" si="45"/>
        <v>High</v>
      </c>
      <c r="P635" s="1" t="str">
        <f t="shared" si="44"/>
        <v>Permanent</v>
      </c>
    </row>
    <row r="636" spans="1:16" x14ac:dyDescent="0.3">
      <c r="A636" s="6">
        <v>45808</v>
      </c>
      <c r="B636" s="11">
        <v>0.98263888888888884</v>
      </c>
      <c r="C636" s="1" t="s">
        <v>2124</v>
      </c>
      <c r="D636" s="1" t="s">
        <v>2044</v>
      </c>
      <c r="E636" s="1" t="s">
        <v>1508</v>
      </c>
      <c r="F636" s="1">
        <v>220</v>
      </c>
      <c r="G636" s="1" t="str">
        <f t="shared" si="43"/>
        <v>Transmission</v>
      </c>
      <c r="H636" s="1" t="s">
        <v>21</v>
      </c>
      <c r="I636" s="1" t="s">
        <v>15</v>
      </c>
      <c r="J636" s="11">
        <v>0.98541666666666672</v>
      </c>
      <c r="K636" s="7">
        <v>7.0000000000000007E-2</v>
      </c>
      <c r="L636" s="1" t="s">
        <v>1577</v>
      </c>
      <c r="M636" s="1" t="s">
        <v>2129</v>
      </c>
      <c r="N636" s="1" t="s">
        <v>367</v>
      </c>
      <c r="O636" s="1" t="str">
        <f t="shared" si="45"/>
        <v>Low</v>
      </c>
      <c r="P636" s="1" t="str">
        <f t="shared" si="44"/>
        <v>Transient</v>
      </c>
    </row>
    <row r="637" spans="1:16" x14ac:dyDescent="0.3">
      <c r="A637" s="6">
        <v>45808</v>
      </c>
      <c r="B637" s="11">
        <v>0.98263888888888884</v>
      </c>
      <c r="C637" s="1" t="s">
        <v>2124</v>
      </c>
      <c r="D637" s="1" t="s">
        <v>2130</v>
      </c>
      <c r="E637" s="1" t="s">
        <v>1505</v>
      </c>
      <c r="F637" s="1">
        <v>220</v>
      </c>
      <c r="G637" s="1" t="str">
        <f t="shared" si="43"/>
        <v>Transmission</v>
      </c>
      <c r="H637" s="1" t="s">
        <v>21</v>
      </c>
      <c r="I637" s="1" t="s">
        <v>15</v>
      </c>
      <c r="J637" s="11">
        <v>0.22361111111111112</v>
      </c>
      <c r="K637" s="7">
        <v>5.78</v>
      </c>
      <c r="L637" s="1" t="s">
        <v>1577</v>
      </c>
      <c r="M637" s="1" t="s">
        <v>2131</v>
      </c>
      <c r="N637" s="1" t="s">
        <v>367</v>
      </c>
      <c r="O637" s="1" t="str">
        <f t="shared" si="45"/>
        <v>High</v>
      </c>
      <c r="P637" s="1" t="str">
        <f t="shared" si="44"/>
        <v>Permanent</v>
      </c>
    </row>
    <row r="638" spans="1:16" x14ac:dyDescent="0.3">
      <c r="A638" s="6">
        <v>45810</v>
      </c>
      <c r="B638" s="11">
        <v>0.12708333333333333</v>
      </c>
      <c r="C638" s="1" t="s">
        <v>2132</v>
      </c>
      <c r="D638" s="1" t="s">
        <v>1952</v>
      </c>
      <c r="E638" s="1" t="s">
        <v>1953</v>
      </c>
      <c r="F638" s="1">
        <v>400</v>
      </c>
      <c r="G638" s="1" t="str">
        <f t="shared" si="43"/>
        <v>Transmission</v>
      </c>
      <c r="H638" s="1" t="s">
        <v>313</v>
      </c>
      <c r="I638" s="1" t="s">
        <v>15</v>
      </c>
      <c r="J638" s="11">
        <v>0.12847222222222221</v>
      </c>
      <c r="K638" s="1">
        <v>0.03</v>
      </c>
      <c r="L638" s="1" t="s">
        <v>17</v>
      </c>
      <c r="M638" s="1" t="s">
        <v>708</v>
      </c>
      <c r="N638" s="1" t="s">
        <v>424</v>
      </c>
      <c r="O638" s="1" t="str">
        <f t="shared" si="45"/>
        <v>Low</v>
      </c>
      <c r="P638" s="1" t="str">
        <f t="shared" si="44"/>
        <v>Transient</v>
      </c>
    </row>
    <row r="639" spans="1:16" x14ac:dyDescent="0.3">
      <c r="A639" s="6">
        <v>45810</v>
      </c>
      <c r="B639" s="11">
        <v>0.12708333333333333</v>
      </c>
      <c r="C639" s="1" t="s">
        <v>2132</v>
      </c>
      <c r="D639" s="1" t="s">
        <v>1955</v>
      </c>
      <c r="E639" s="1" t="s">
        <v>1956</v>
      </c>
      <c r="F639" s="1">
        <v>400</v>
      </c>
      <c r="G639" s="1" t="str">
        <f t="shared" si="43"/>
        <v>Transmission</v>
      </c>
      <c r="H639" s="1" t="s">
        <v>313</v>
      </c>
      <c r="I639" s="1" t="s">
        <v>15</v>
      </c>
      <c r="J639" s="11">
        <v>0.13055555555555556</v>
      </c>
      <c r="K639" s="1">
        <v>0.08</v>
      </c>
      <c r="L639" s="1" t="s">
        <v>17</v>
      </c>
      <c r="M639" s="1" t="s">
        <v>2133</v>
      </c>
      <c r="N639" s="1" t="s">
        <v>424</v>
      </c>
      <c r="O639" s="1" t="str">
        <f t="shared" si="45"/>
        <v>Low</v>
      </c>
      <c r="P639" s="1" t="str">
        <f t="shared" si="44"/>
        <v>Transient</v>
      </c>
    </row>
    <row r="640" spans="1:16" x14ac:dyDescent="0.3">
      <c r="A640" s="6">
        <v>45810</v>
      </c>
      <c r="B640" s="11">
        <v>0.81805555555555554</v>
      </c>
      <c r="C640" s="1" t="s">
        <v>2134</v>
      </c>
      <c r="D640" s="1" t="s">
        <v>2120</v>
      </c>
      <c r="E640" s="1" t="s">
        <v>2121</v>
      </c>
      <c r="F640" s="1">
        <v>220</v>
      </c>
      <c r="G640" s="1" t="str">
        <f t="shared" si="43"/>
        <v>Transmission</v>
      </c>
      <c r="H640" s="1" t="s">
        <v>14</v>
      </c>
      <c r="I640" s="1" t="s">
        <v>15</v>
      </c>
      <c r="J640" s="11">
        <v>0.82291666666666663</v>
      </c>
      <c r="K640" s="1">
        <v>0.12</v>
      </c>
      <c r="L640" s="1" t="s">
        <v>17</v>
      </c>
      <c r="M640" s="1" t="s">
        <v>2122</v>
      </c>
      <c r="N640" s="1" t="s">
        <v>424</v>
      </c>
      <c r="O640" s="1" t="str">
        <f t="shared" si="45"/>
        <v>Medium</v>
      </c>
      <c r="P640" s="1" t="str">
        <f t="shared" si="44"/>
        <v>Sustained</v>
      </c>
    </row>
    <row r="641" spans="1:16" x14ac:dyDescent="0.3">
      <c r="A641" s="6">
        <v>45821</v>
      </c>
      <c r="B641" s="11">
        <v>0.91805555555555551</v>
      </c>
      <c r="C641" s="1" t="s">
        <v>2140</v>
      </c>
      <c r="D641" s="1" t="s">
        <v>1952</v>
      </c>
      <c r="E641" s="1" t="s">
        <v>1953</v>
      </c>
      <c r="F641" s="1">
        <v>400</v>
      </c>
      <c r="G641" s="1" t="str">
        <f t="shared" si="43"/>
        <v>Transmission</v>
      </c>
      <c r="H641" s="1" t="s">
        <v>313</v>
      </c>
      <c r="I641" s="1" t="s">
        <v>15</v>
      </c>
      <c r="J641" s="11">
        <v>0.92986111111111114</v>
      </c>
      <c r="K641" s="1">
        <v>0.28000000000000003</v>
      </c>
      <c r="L641" s="1" t="s">
        <v>17</v>
      </c>
      <c r="M641" s="1" t="s">
        <v>2141</v>
      </c>
      <c r="N641" s="1" t="s">
        <v>424</v>
      </c>
      <c r="O641" s="1" t="str">
        <f t="shared" si="45"/>
        <v>Medium</v>
      </c>
      <c r="P641" s="1" t="str">
        <f t="shared" si="44"/>
        <v>Sustained</v>
      </c>
    </row>
    <row r="642" spans="1:16" x14ac:dyDescent="0.3">
      <c r="A642" s="6">
        <v>45821</v>
      </c>
      <c r="B642" s="11">
        <v>0.91805555555555551</v>
      </c>
      <c r="C642" s="1" t="s">
        <v>2140</v>
      </c>
      <c r="D642" s="1" t="s">
        <v>1955</v>
      </c>
      <c r="E642" s="1" t="s">
        <v>1956</v>
      </c>
      <c r="F642" s="1">
        <v>400</v>
      </c>
      <c r="G642" s="1" t="str">
        <f t="shared" si="43"/>
        <v>Transmission</v>
      </c>
      <c r="H642" s="1" t="s">
        <v>313</v>
      </c>
      <c r="I642" s="1" t="s">
        <v>15</v>
      </c>
      <c r="J642" s="11">
        <v>0.92986111111111114</v>
      </c>
      <c r="K642" s="1">
        <v>0.28000000000000003</v>
      </c>
      <c r="L642" s="1" t="s">
        <v>17</v>
      </c>
      <c r="M642" s="1" t="s">
        <v>708</v>
      </c>
      <c r="N642" s="1" t="s">
        <v>424</v>
      </c>
      <c r="O642" s="1" t="str">
        <f t="shared" si="45"/>
        <v>Medium</v>
      </c>
      <c r="P642" s="1" t="str">
        <f t="shared" si="44"/>
        <v>Sustained</v>
      </c>
    </row>
    <row r="643" spans="1:16" x14ac:dyDescent="0.3">
      <c r="A643" s="6">
        <v>45831</v>
      </c>
      <c r="B643" s="11">
        <v>0.40833333333333333</v>
      </c>
      <c r="C643" s="1" t="s">
        <v>2142</v>
      </c>
      <c r="D643" s="1" t="s">
        <v>1952</v>
      </c>
      <c r="E643" s="1" t="s">
        <v>1953</v>
      </c>
      <c r="F643" s="1">
        <v>400</v>
      </c>
      <c r="G643" s="1" t="str">
        <f t="shared" si="43"/>
        <v>Transmission</v>
      </c>
      <c r="H643" s="1" t="s">
        <v>313</v>
      </c>
      <c r="I643" s="1" t="s">
        <v>15</v>
      </c>
      <c r="J643" s="11">
        <v>0.41249999999999998</v>
      </c>
      <c r="K643" s="1">
        <v>0.1</v>
      </c>
      <c r="L643" s="1" t="s">
        <v>17</v>
      </c>
      <c r="M643" s="1" t="s">
        <v>2143</v>
      </c>
      <c r="N643" s="1" t="s">
        <v>424</v>
      </c>
      <c r="O643" s="1" t="str">
        <f t="shared" si="45"/>
        <v>Medium</v>
      </c>
      <c r="P643" s="1" t="str">
        <f t="shared" si="44"/>
        <v>Sustained</v>
      </c>
    </row>
    <row r="644" spans="1:16" x14ac:dyDescent="0.3">
      <c r="A644" s="6">
        <v>45831</v>
      </c>
      <c r="B644" s="11">
        <v>0.40833333333333333</v>
      </c>
      <c r="C644" s="1" t="s">
        <v>2142</v>
      </c>
      <c r="D644" s="1" t="s">
        <v>1955</v>
      </c>
      <c r="E644" s="1" t="s">
        <v>1956</v>
      </c>
      <c r="F644" s="1">
        <v>400</v>
      </c>
      <c r="G644" s="1" t="str">
        <f t="shared" si="43"/>
        <v>Transmission</v>
      </c>
      <c r="H644" s="1" t="s">
        <v>313</v>
      </c>
      <c r="I644" s="1" t="s">
        <v>15</v>
      </c>
      <c r="J644" s="11">
        <v>0.41249999999999998</v>
      </c>
      <c r="K644" s="1">
        <v>0.1</v>
      </c>
      <c r="L644" s="1" t="s">
        <v>17</v>
      </c>
      <c r="M644" s="1" t="s">
        <v>2144</v>
      </c>
      <c r="N644" s="1" t="s">
        <v>424</v>
      </c>
      <c r="O644" s="1" t="str">
        <f t="shared" si="45"/>
        <v>Medium</v>
      </c>
      <c r="P644" s="1" t="str">
        <f t="shared" si="44"/>
        <v>Sustained</v>
      </c>
    </row>
    <row r="645" spans="1:16" x14ac:dyDescent="0.3">
      <c r="A645" s="6">
        <v>45832</v>
      </c>
      <c r="B645" s="11">
        <v>0.96805555555555556</v>
      </c>
      <c r="C645" s="1" t="s">
        <v>2145</v>
      </c>
      <c r="D645" s="1" t="s">
        <v>1952</v>
      </c>
      <c r="E645" s="1" t="s">
        <v>1953</v>
      </c>
      <c r="F645" s="1">
        <v>400</v>
      </c>
      <c r="G645" s="1" t="str">
        <f t="shared" si="43"/>
        <v>Transmission</v>
      </c>
      <c r="H645" s="1" t="s">
        <v>313</v>
      </c>
      <c r="I645" s="1" t="s">
        <v>15</v>
      </c>
      <c r="J645" s="11">
        <v>0.97083333333333333</v>
      </c>
      <c r="K645" s="1">
        <v>7.0000000000000007E-2</v>
      </c>
      <c r="L645" s="1" t="s">
        <v>17</v>
      </c>
      <c r="M645" s="1" t="s">
        <v>2146</v>
      </c>
      <c r="N645" s="1" t="s">
        <v>424</v>
      </c>
      <c r="O645" s="1" t="str">
        <f t="shared" si="45"/>
        <v>Low</v>
      </c>
      <c r="P645" s="1" t="str">
        <f t="shared" si="44"/>
        <v>Transient</v>
      </c>
    </row>
    <row r="646" spans="1:16" x14ac:dyDescent="0.3">
      <c r="A646" s="6">
        <v>45832</v>
      </c>
      <c r="B646" s="11">
        <v>0.96805555555555556</v>
      </c>
      <c r="C646" s="1" t="s">
        <v>2145</v>
      </c>
      <c r="D646" s="1" t="s">
        <v>1955</v>
      </c>
      <c r="E646" s="1" t="s">
        <v>1956</v>
      </c>
      <c r="F646" s="1">
        <v>400</v>
      </c>
      <c r="G646" s="1" t="str">
        <f t="shared" si="43"/>
        <v>Transmission</v>
      </c>
      <c r="H646" s="1" t="s">
        <v>313</v>
      </c>
      <c r="I646" s="1" t="s">
        <v>15</v>
      </c>
      <c r="J646" s="11">
        <v>0.97083333333333333</v>
      </c>
      <c r="K646" s="1">
        <v>7.0000000000000007E-2</v>
      </c>
      <c r="L646" s="1" t="s">
        <v>17</v>
      </c>
      <c r="M646" s="1" t="s">
        <v>2147</v>
      </c>
      <c r="N646" s="1" t="s">
        <v>424</v>
      </c>
      <c r="O646" s="1" t="str">
        <f t="shared" si="45"/>
        <v>Low</v>
      </c>
      <c r="P646" s="1" t="str">
        <f t="shared" si="44"/>
        <v>Transient</v>
      </c>
    </row>
    <row r="647" spans="1:16" x14ac:dyDescent="0.3">
      <c r="A647" s="6">
        <v>45833</v>
      </c>
      <c r="B647" s="11">
        <v>0.26666666666666666</v>
      </c>
      <c r="C647" s="1" t="s">
        <v>2148</v>
      </c>
      <c r="D647" s="1" t="s">
        <v>1952</v>
      </c>
      <c r="E647" s="1" t="s">
        <v>1953</v>
      </c>
      <c r="F647" s="1">
        <v>400</v>
      </c>
      <c r="G647" s="1" t="str">
        <f t="shared" si="43"/>
        <v>Transmission</v>
      </c>
      <c r="H647" s="1" t="s">
        <v>313</v>
      </c>
      <c r="I647" s="1" t="s">
        <v>15</v>
      </c>
      <c r="J647" s="11">
        <v>0.27152777777777776</v>
      </c>
      <c r="K647" s="1">
        <v>0.12</v>
      </c>
      <c r="L647" s="1" t="s">
        <v>17</v>
      </c>
      <c r="M647" s="1" t="s">
        <v>2149</v>
      </c>
      <c r="N647" s="1" t="s">
        <v>424</v>
      </c>
      <c r="O647" s="1" t="str">
        <f t="shared" si="45"/>
        <v>Medium</v>
      </c>
      <c r="P647" s="1" t="str">
        <f t="shared" si="44"/>
        <v>Sustained</v>
      </c>
    </row>
    <row r="648" spans="1:16" x14ac:dyDescent="0.3">
      <c r="A648" s="6">
        <v>45833</v>
      </c>
      <c r="B648" s="11">
        <v>0.26666666666666666</v>
      </c>
      <c r="C648" s="1" t="s">
        <v>2148</v>
      </c>
      <c r="D648" s="1" t="s">
        <v>1955</v>
      </c>
      <c r="E648" s="1" t="s">
        <v>1956</v>
      </c>
      <c r="F648" s="1">
        <v>400</v>
      </c>
      <c r="G648" s="1" t="str">
        <f t="shared" si="43"/>
        <v>Transmission</v>
      </c>
      <c r="H648" s="1" t="s">
        <v>313</v>
      </c>
      <c r="I648" s="1" t="s">
        <v>15</v>
      </c>
      <c r="J648" s="11">
        <v>0.27152777777777776</v>
      </c>
      <c r="K648" s="1">
        <v>0.12</v>
      </c>
      <c r="L648" s="1" t="s">
        <v>17</v>
      </c>
      <c r="M648" s="1" t="s">
        <v>2147</v>
      </c>
      <c r="N648" s="1" t="s">
        <v>424</v>
      </c>
      <c r="O648" s="1" t="str">
        <f t="shared" si="45"/>
        <v>Medium</v>
      </c>
      <c r="P648" s="1" t="str">
        <f t="shared" si="44"/>
        <v>Sustained</v>
      </c>
    </row>
    <row r="649" spans="1:16" x14ac:dyDescent="0.3">
      <c r="A649" s="6">
        <v>45833</v>
      </c>
      <c r="B649" s="11">
        <v>0.72986111111111107</v>
      </c>
      <c r="C649" s="1" t="s">
        <v>2150</v>
      </c>
      <c r="D649" s="1" t="s">
        <v>516</v>
      </c>
      <c r="E649" s="1" t="s">
        <v>2151</v>
      </c>
      <c r="F649" s="1">
        <v>132</v>
      </c>
      <c r="G649" s="1" t="str">
        <f t="shared" si="43"/>
        <v>Transmission</v>
      </c>
      <c r="H649" s="1" t="s">
        <v>14</v>
      </c>
      <c r="I649" s="1" t="s">
        <v>15</v>
      </c>
      <c r="J649" s="11">
        <v>0.8666666666666667</v>
      </c>
      <c r="K649" s="1">
        <v>3.28</v>
      </c>
      <c r="L649" s="1" t="s">
        <v>2152</v>
      </c>
      <c r="M649" s="1" t="s">
        <v>2153</v>
      </c>
      <c r="N649" s="1" t="s">
        <v>424</v>
      </c>
      <c r="O649" s="1" t="str">
        <f t="shared" si="45"/>
        <v>High</v>
      </c>
      <c r="P649" s="1" t="str">
        <f t="shared" si="44"/>
        <v>Permanent</v>
      </c>
    </row>
  </sheetData>
  <sortState ref="A2:P743">
    <sortCondition ref="G2:G743" customList="Distribution,Sub-Transmission,Transmission"/>
  </sortState>
  <phoneticPr fontId="18" type="noConversion"/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Monthly_Fault_Data__Jan_Mar1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KANTI</dc:creator>
  <cp:lastModifiedBy>THERESA KANTI</cp:lastModifiedBy>
  <dcterms:created xsi:type="dcterms:W3CDTF">2025-08-26T07:56:18Z</dcterms:created>
  <dcterms:modified xsi:type="dcterms:W3CDTF">2025-10-29T08:06:32Z</dcterms:modified>
</cp:coreProperties>
</file>